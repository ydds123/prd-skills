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00_评审看板" sheetId="1" r:id="rId1"/>
    <sheet name="01_需求自查清单" sheetId="2" r:id="rId2"/>
    <sheet name="02_字典配置" sheetId="3" r:id="rId3"/>
    <sheet name="03_阻塞标准" sheetId="4" r:id="rId4"/>
    <sheet name="04_复杂度适配" sheetId="5" r:id="rId5"/>
    <sheet name="05_来源与原则" sheetId="6" r:id="rId6"/>
    <sheet name="06_使用说明" sheetId="7" r:id="rId7"/>
    <sheet name="07_表格模板示例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<sst xmlns="http://schemas.openxmlformats.org/spreadsheetml/2006/main" count="2241" uniqueCount="1164">
  <si>
    <t>PRD 需求自查清单 V3.3｜质量门禁看板</t>
  </si>
  <si>
    <t>根标准：读的人不需要再回来找 PM 确认。看板根据 01_需求自查清单 的适用性、填写情况、门禁状态自动汇总。</t>
  </si>
  <si>
    <t>指标</t>
  </si>
  <si>
    <t>公式/结果</t>
  </si>
  <si>
    <t>说明</t>
  </si>
  <si>
    <t>门禁状态</t>
  </si>
  <si>
    <t>数量</t>
  </si>
  <si>
    <t>优先级</t>
  </si>
  <si>
    <t>适用项</t>
  </si>
  <si>
    <t>未通过/未处理</t>
  </si>
  <si>
    <t>检查项总数</t>
  </si>
  <si>
    <t>清单内全部检查项数量</t>
  </si>
  <si>
    <t>通过</t>
  </si>
  <si>
    <t>P0</t>
  </si>
  <si>
    <t>适用项数量</t>
  </si>
  <si>
    <t>当前需求需要检查的项目数</t>
  </si>
  <si>
    <t>待补充</t>
  </si>
  <si>
    <t>P1</t>
  </si>
  <si>
    <t>通过项数量</t>
  </si>
  <si>
    <t>已写且已检查的通过项</t>
  </si>
  <si>
    <t>P0阻塞</t>
  </si>
  <si>
    <t>P2</t>
  </si>
  <si>
    <t>P0 阻塞项</t>
  </si>
  <si>
    <t>存在任何 P0 均不可进入评审</t>
  </si>
  <si>
    <t>P1风险</t>
  </si>
  <si>
    <t>P3</t>
  </si>
  <si>
    <t>P1 风险项</t>
  </si>
  <si>
    <t>P1 默认阻塞，除非记录风险接受</t>
  </si>
  <si>
    <t>建议优化</t>
  </si>
  <si>
    <t>待检查项</t>
  </si>
  <si>
    <t>适用但尚未填写检查结果</t>
  </si>
  <si>
    <t>待检查</t>
  </si>
  <si>
    <t>待补充项</t>
  </si>
  <si>
    <t>PRD 已部分覆盖但仍需补充</t>
  </si>
  <si>
    <t>不适用</t>
  </si>
  <si>
    <t>适用项通过率</t>
  </si>
  <si>
    <t>通过项 / 适用项</t>
  </si>
  <si>
    <t>必查门禁通过率</t>
  </si>
  <si>
    <t>必查门禁内通过比例</t>
  </si>
  <si>
    <t>四大质量指标</t>
  </si>
  <si>
    <t>核心自查问题</t>
  </si>
  <si>
    <t>优先关注</t>
  </si>
  <si>
    <t>评审结论</t>
  </si>
  <si>
    <t>自动结论</t>
  </si>
  <si>
    <t>边界清晰</t>
  </si>
  <si>
    <t>本期做什么、不做什么、适用于谁、不适用于谁是否明确？</t>
  </si>
  <si>
    <t>范围、非目标、角色、权限、数据边界</t>
  </si>
  <si>
    <t>判断显性</t>
  </si>
  <si>
    <t>规则、默认值、异常、依赖、责任方是否写出结论？</t>
  </si>
  <si>
    <t>核心规则、默认规则、操作控制、异常兜底</t>
  </si>
  <si>
    <t>不留猜疑</t>
  </si>
  <si>
    <t>入口、触发、输入输出、状态变化、反馈、验收是否可执行？</t>
  </si>
  <si>
    <t>流程、状态机、反馈、验收、自测</t>
  </si>
  <si>
    <t>检查层级</t>
  </si>
  <si>
    <t>通过项</t>
  </si>
  <si>
    <t>通过率</t>
  </si>
  <si>
    <t>信息准确</t>
  </si>
  <si>
    <t>事实、假设、待确认项、数据口径、系统能力是否区分？</t>
  </si>
  <si>
    <t>数据来源、统计口径、待确认、能力边界</t>
  </si>
  <si>
    <t>必查门禁</t>
  </si>
  <si>
    <t>扩展检查</t>
  </si>
  <si>
    <t>优化建议</t>
  </si>
  <si>
    <t>使用顺序</t>
  </si>
  <si>
    <t>1. 先在 01_需求自查清单 中按需求复杂度调整“是否适用”</t>
  </si>
  <si>
    <t>2. 对适用项填写“是否已写”“是否已检查”“PRD证据位置”</t>
  </si>
  <si>
    <t>3. 若部分覆盖，填写“部分”，门禁状态会进入“待补充”</t>
  </si>
  <si>
    <t>4. 若未覆盖，按默认优先级自动生成 P0阻塞 / P1风险 / 建议优化</t>
  </si>
  <si>
    <t>5. 回到本看板查看 P0/P1 是否清零，再决定能否进入评审</t>
  </si>
  <si>
    <t>模板补充提醒｜根据“建议呈现方式”和门禁状态，提示应优先补哪类表</t>
  </si>
  <si>
    <t>模板类型</t>
  </si>
  <si>
    <t>需补项数</t>
  </si>
  <si>
    <t>统计逻辑</t>
  </si>
  <si>
    <t>模板位置</t>
  </si>
  <si>
    <t>规则表</t>
  </si>
  <si>
    <t>建议呈现方式包含“规则表”且未通过/待补充/P0/P1/建议优化</t>
  </si>
  <si>
    <t>07_表格模板示例!A14</t>
  </si>
  <si>
    <t>字段规则表</t>
  </si>
  <si>
    <t>建议呈现方式包含“字段规则表”且未通过/待补充/P0/P1/建议优化</t>
  </si>
  <si>
    <t>07_表格模板示例!A34</t>
  </si>
  <si>
    <t>校验规则表</t>
  </si>
  <si>
    <t>建议呈现方式包含“校验规则表”且未通过/待补充/P0/P1/建议优化</t>
  </si>
  <si>
    <t>07_表格模板示例!A54</t>
  </si>
  <si>
    <t>数据口径表</t>
  </si>
  <si>
    <t>建议呈现方式包含“数据口径表”且未通过/待补充/P0/P1/建议优化</t>
  </si>
  <si>
    <t>07_表格模板示例!A74</t>
  </si>
  <si>
    <t>异常规则表</t>
  </si>
  <si>
    <t>建议呈现方式包含“异常规则表”且未通过/待补充/P0/P1/建议优化</t>
  </si>
  <si>
    <t>07_表格模板示例!A94</t>
  </si>
  <si>
    <t>验收标准表</t>
  </si>
  <si>
    <t>建议呈现方式包含“验收标准表”且未通过/待补充/P0/P1/建议优化</t>
  </si>
  <si>
    <t>07_表格模板示例!A116</t>
  </si>
  <si>
    <t>自测用例表</t>
  </si>
  <si>
    <t>建议呈现方式包含“自测用例表”且未通过/待补充/P0/P1/建议优化</t>
  </si>
  <si>
    <t>07_表格模板示例!A135</t>
  </si>
  <si>
    <t>风险接受表</t>
  </si>
  <si>
    <t>建议呈现方式包含“风险接受表”且未通过/待补充/P0/P1/建议优化</t>
  </si>
  <si>
    <t>07_表格模板示例!A154</t>
  </si>
  <si>
    <t>序号</t>
  </si>
  <si>
    <t>一级检查域</t>
  </si>
  <si>
    <t>二级模块</t>
  </si>
  <si>
    <t>检查项</t>
  </si>
  <si>
    <t>适用条件</t>
  </si>
  <si>
    <t>自查问题</t>
  </si>
  <si>
    <t>合格标准</t>
  </si>
  <si>
    <t>不通过信号</t>
  </si>
  <si>
    <t>建议补充位置</t>
  </si>
  <si>
    <t>建议呈现方式</t>
  </si>
  <si>
    <t>默认优先级</t>
  </si>
  <si>
    <t>复杂度适配</t>
  </si>
  <si>
    <t>是否适用</t>
  </si>
  <si>
    <t>是否已写</t>
  </si>
  <si>
    <t>是否已检查</t>
  </si>
  <si>
    <t>实际问题等级</t>
  </si>
  <si>
    <t>修正动作</t>
  </si>
  <si>
    <t>PRD证据位置</t>
  </si>
  <si>
    <t>备注</t>
  </si>
  <si>
    <t>需求定义与复杂度判断</t>
  </si>
  <si>
    <t>真实问题</t>
  </si>
  <si>
    <t>真实问题是否明确</t>
  </si>
  <si>
    <t>所有需求</t>
  </si>
  <si>
    <t>是否写清楚解决谁的什么问题，而不是只复述一个功能方案？</t>
  </si>
  <si>
    <t>能明确用户/角色、现状问题、痛点后果、为什么现在要做；读者能复述需求的业务价值。</t>
  </si>
  <si>
    <t>只写“新增某功能”“优化某页面”“支持某配置”，没有说明真实问题。</t>
  </si>
  <si>
    <t>为什么做 / 背景与真实问题</t>
  </si>
  <si>
    <t>SCQA说明 / 问题定义表</t>
  </si>
  <si>
    <t>L1-L4</t>
  </si>
  <si>
    <t>是</t>
  </si>
  <si>
    <t/>
  </si>
  <si>
    <t>补充问题定义：用户、场景、痛点、现状、为什么现在做。</t>
  </si>
  <si>
    <t>本期目标</t>
  </si>
  <si>
    <t>本期目标与成功标准</t>
  </si>
  <si>
    <t>是否写清本期做到什么程度算有效？</t>
  </si>
  <si>
    <t>有可判断的目标或成功标准，能说明做完后业务或流程会发生什么变化。</t>
  </si>
  <si>
    <t>只写“提升效率”“优化体验”“完善管理”，没有可验证结果。</t>
  </si>
  <si>
    <t>为什么做 / 产品目标与成功标准</t>
  </si>
  <si>
    <t>目标表 / 成功标准表</t>
  </si>
  <si>
    <t>补充本期目标和可验证成功标准。</t>
  </si>
  <si>
    <t>适用端范围</t>
  </si>
  <si>
    <t>需求涉及端范围</t>
  </si>
  <si>
    <t>涉及多个端或入口时必查</t>
  </si>
  <si>
    <t>是否写清需求适用哪些端，哪些端不适用？</t>
  </si>
  <si>
    <t>平台、PC、APP、小程序、公众号、管理后台等范围明确，端之间差异明确。</t>
  </si>
  <si>
    <t>只写“系统支持”，但不知道在哪些端支持。</t>
  </si>
  <si>
    <t>是什么 / 需求范围</t>
  </si>
  <si>
    <t>范围表</t>
  </si>
  <si>
    <t>补充适用端、入口、端间差异和排除端。</t>
  </si>
  <si>
    <t>边界清晰检查</t>
  </si>
  <si>
    <t>本期范围</t>
  </si>
  <si>
    <t>本期做什么</t>
  </si>
  <si>
    <t>本期具体包含哪些功能、场景、角色、数据？</t>
  </si>
  <si>
    <t>功能边界、角色边界、场景边界、数据边界可被研发和测试直接识别。</t>
  </si>
  <si>
    <t>只写功能点，不写边界；读者仍会问“这个本期做不做”。</t>
  </si>
  <si>
    <t>为什么做 / 范围与优先级</t>
  </si>
  <si>
    <t>补充本期范围表：功能、角色、场景、数据、优先级。</t>
  </si>
  <si>
    <t>非目标</t>
  </si>
  <si>
    <t>本期不做什么</t>
  </si>
  <si>
    <t>L2及以上需求；存在范围误解风险时必查</t>
  </si>
  <si>
    <t>哪些容易被误认为本期要做的内容已被明确排除？</t>
  </si>
  <si>
    <t>有非目标表，且排除项明确；后续规划与本期范围分离。</t>
  </si>
  <si>
    <t>后续想法混入本期；没有说明暂不覆盖的角色、数据或场景。</t>
  </si>
  <si>
    <t>为什么做 / 本期不做</t>
  </si>
  <si>
    <t>非目标表</t>
  </si>
  <si>
    <t>L2-L4</t>
  </si>
  <si>
    <t>补充非目标表，写明排除原因和是否进入后续规划。</t>
  </si>
  <si>
    <t>角色边界</t>
  </si>
  <si>
    <t>角色与职责边界</t>
  </si>
  <si>
    <t>多角色、B端、审批、配置、维护类需求</t>
  </si>
  <si>
    <t>谁使用、谁配置、谁审批、谁维护、谁处理异常？</t>
  </si>
  <si>
    <t>角色名称、职责、参与环节清楚；角色之间不重叠、不混用。</t>
  </si>
  <si>
    <t>使用“相关人员”“管理员”等泛称，未定义具体角色。</t>
  </si>
  <si>
    <t>是什么 / 角色与权限</t>
  </si>
  <si>
    <t>角色职责表</t>
  </si>
  <si>
    <t>补充角色职责表，统一角色命名。</t>
  </si>
  <si>
    <t>权限边界</t>
  </si>
  <si>
    <t>角色权限矩阵</t>
  </si>
  <si>
    <t>存在查看、新增、编辑、删除、审批、配置等权限差异时必查</t>
  </si>
  <si>
    <t>不同角色能看什么、做什么、不能做什么？</t>
  </si>
  <si>
    <t>有角色权限矩阵，覆盖页面入口、数据范围、操作按钮和异常无权限反馈。</t>
  </si>
  <si>
    <t>只写“有权限的人可操作”，没有权限来源和限制。</t>
  </si>
  <si>
    <t>是什么 / 角色权限矩阵</t>
  </si>
  <si>
    <t>权限矩阵</t>
  </si>
  <si>
    <t>补充角色×操作×数据范围×状态的权限矩阵。</t>
  </si>
  <si>
    <t>不留猜疑检查</t>
  </si>
  <si>
    <t>主流程</t>
  </si>
  <si>
    <t>主流程闭环</t>
  </si>
  <si>
    <t>L2及以上需求</t>
  </si>
  <si>
    <t>主流程能否从入口、操作、系统处理、结果反馈一直走到结束？</t>
  </si>
  <si>
    <t>有入口、触发条件、操作步骤、系统处理、结果反馈、结束状态；流程可执行。</t>
  </si>
  <si>
    <t>流程只写到“提交/保存”，未写提交后发生什么。</t>
  </si>
  <si>
    <t>是什么 / 主流程</t>
  </si>
  <si>
    <t>流程图 + 步骤表</t>
  </si>
  <si>
    <t>补充主流程图，并在步骤表中写清用户动作和系统响应。</t>
  </si>
  <si>
    <t>分支流程</t>
  </si>
  <si>
    <t>分支、逆向与退出路径</t>
  </si>
  <si>
    <t>存在审批、撤回、驳回、取消、删除、关闭、终止等动作时必查</t>
  </si>
  <si>
    <t>逆向流程、退出流程、失败流程是否写清？</t>
  </si>
  <si>
    <t>撤回、驳回、取消、失败、关闭、超时等路径有触发条件、结果和状态变化。</t>
  </si>
  <si>
    <t>只有正向流程；用户取消、失败、撤回后结果不明。</t>
  </si>
  <si>
    <t>是什么 / 流程与状态变化</t>
  </si>
  <si>
    <t>流程图 + 规则表</t>
  </si>
  <si>
    <t>补充分支/逆向流程，明确每条路径的结束状态。</t>
  </si>
  <si>
    <t>07_表格模板示例!A14｜规则表模板</t>
  </si>
  <si>
    <t>状态机</t>
  </si>
  <si>
    <t>状态及状态变更</t>
  </si>
  <si>
    <t>存在启停、审批、发布、关闭、驳回、作废、流转等状态变化时必查</t>
  </si>
  <si>
    <t>所有状态、触发动作、操作角色、前置状态、目标状态是否完整？</t>
  </si>
  <si>
    <t>状态机图或状态流转表覆盖主流程、逆向流程、异常流程；每个状态均有可执行动作和下一状态。</t>
  </si>
  <si>
    <t>只列“待审批、已审批、已驳回”等状态名称，没写触发条件和可操作动作。</t>
  </si>
  <si>
    <t>是什么 / 状态机模型</t>
  </si>
  <si>
    <t>状态机图 + 状态流转表</t>
  </si>
  <si>
    <t>补状态机图；无法确认的状态进入待确认事项。</t>
  </si>
  <si>
    <t>判断显性检查</t>
  </si>
  <si>
    <t>核心规则</t>
  </si>
  <si>
    <t>核心业务规则</t>
  </si>
  <si>
    <t>什么条件下允许、禁止、触发、关闭、变更？</t>
  </si>
  <si>
    <t>每个核心功能都有规则、触发条件、限制条件、默认处理和责任方。</t>
  </si>
  <si>
    <t>只写“支持配置”“支持审批”“支持查询”，无条件、规则和结果。</t>
  </si>
  <si>
    <t>是什么 / 功能规则</t>
  </si>
  <si>
    <t>业务规则表</t>
  </si>
  <si>
    <t>补核心规则表，按功能域写清条件、动作、结果。</t>
  </si>
  <si>
    <t>默认规则</t>
  </si>
  <si>
    <t>关键默认值</t>
  </si>
  <si>
    <t>存在默认筛选、默认排序、默认状态、默认开关、默认人员时必查</t>
  </si>
  <si>
    <t>用户不操作时，系统默认怎么处理？</t>
  </si>
  <si>
    <t>默认值、默认状态、默认排序、默认筛选、默认开关均明确；默认来源清楚。</t>
  </si>
  <si>
    <t>默认值交给研发猜；只在原型里出现但PRD不写。</t>
  </si>
  <si>
    <t>是什么 / 默认规则</t>
  </si>
  <si>
    <t>默认值表</t>
  </si>
  <si>
    <t>补默认值表，区分系统默认、角色默认、历史记忆和配置默认。</t>
  </si>
  <si>
    <t>操作控制</t>
  </si>
  <si>
    <t>按钮与操作控制</t>
  </si>
  <si>
    <t>有按钮、菜单、批量操作、行内操作时必查</t>
  </si>
  <si>
    <t>不同角色、不同状态下按钮是否可见、可点、禁用？</t>
  </si>
  <si>
    <t>有操作控制表，覆盖显示条件、可点条件、禁用原因、点击结果。</t>
  </si>
  <si>
    <t>只画按钮，不写状态限制；测试不知道哪些情况下按钮应禁用。</t>
  </si>
  <si>
    <t>是什么 / 操作规则</t>
  </si>
  <si>
    <t>操作控制表</t>
  </si>
  <si>
    <t>补角色×状态×按钮的操作控制表。</t>
  </si>
  <si>
    <t>信息准确检查</t>
  </si>
  <si>
    <t>数据来源</t>
  </si>
  <si>
    <t>数据来源与更新时间</t>
  </si>
  <si>
    <t>涉及业务数据、列表、统计、报表、外部系统时必查</t>
  </si>
  <si>
    <t>数据从哪里来？什么时候更新？是否同步或延迟？</t>
  </si>
  <si>
    <t>数据来源、更新时间、同步方式、数据延迟、异常兜底明确。</t>
  </si>
  <si>
    <t>写了“展示数据”，但没有说明来源、口径或更新时间。</t>
  </si>
  <si>
    <t>是什么 / 数据说明</t>
  </si>
  <si>
    <t>数据来源表</t>
  </si>
  <si>
    <t>补数据来源、更新频率、同步失败兜底。</t>
  </si>
  <si>
    <t>统计口径</t>
  </si>
  <si>
    <t>指标与统计口径</t>
  </si>
  <si>
    <t>涉及指标、报表、看板、排名、百分比时必查</t>
  </si>
  <si>
    <t>指标怎么算？统计范围、时间范围、筛选条件是什么？</t>
  </si>
  <si>
    <t>有指标定义、计算口径、单位、时间范围、过滤条件和边界说明。</t>
  </si>
  <si>
    <t>数字有了，算法没有；报表口径和列表口径可能不一致。</t>
  </si>
  <si>
    <t>是什么 / 数据口径</t>
  </si>
  <si>
    <t>统计口径表</t>
  </si>
  <si>
    <t>L3-L4</t>
  </si>
  <si>
    <t>补统计口径表：指标、公式、范围、单位、更新时间。</t>
  </si>
  <si>
    <t>异常兜底</t>
  </si>
  <si>
    <t>空态、失败、重复、冲突、权限不足</t>
  </si>
  <si>
    <t>空态、失败、重复、冲突、权限不足等情况怎么处理？</t>
  </si>
  <si>
    <t>核心异常均有触发条件、系统处理、用户提示、是否可重试/恢复说明。</t>
  </si>
  <si>
    <t>只有正常流程；失败、无数据、无权限、重复提交均未定义。</t>
  </si>
  <si>
    <t>怎么玩 / 异常与兜底</t>
  </si>
  <si>
    <t>补异常规则表，至少覆盖空态、失败、重复、冲突、权限不足。</t>
  </si>
  <si>
    <t>07_表格模板示例!A94｜异常规则表模板；07_表格模板示例!A14｜规则表模板</t>
  </si>
  <si>
    <t>结果反馈</t>
  </si>
  <si>
    <t>操作结果反馈</t>
  </si>
  <si>
    <t>有提交、保存、审批、删除、启停、批量处理等动作时必查</t>
  </si>
  <si>
    <t>成功、失败、处理中分别如何反馈？页面和数据如何变化？</t>
  </si>
  <si>
    <t>明确点击前、中、后的页面状态、提示、刷新、跳转、数据变化。</t>
  </si>
  <si>
    <t>点完以后发生什么没写；成功后是否关闭弹窗、是否刷新列表不明。</t>
  </si>
  <si>
    <t>怎么玩 / 交互反馈</t>
  </si>
  <si>
    <t>反馈规则表</t>
  </si>
  <si>
    <t>补操作反馈规则表，写清成功、失败、处理中。</t>
  </si>
  <si>
    <t>待确认事项</t>
  </si>
  <si>
    <t>假设与待确认项</t>
  </si>
  <si>
    <t>存在未确认规则、数据、依赖、范围、外部接口时必查</t>
  </si>
  <si>
    <t>未确认内容是否明确标记，而不是写成确定事实？</t>
  </si>
  <si>
    <t>有待确认事项表，说明影响范围、负责人、确认时点；不影响核心判断的才允许挂起。</t>
  </si>
  <si>
    <t>把假设写成事实；未确认内容直接进入开发依据。</t>
  </si>
  <si>
    <t>附录 / 待确认事项</t>
  </si>
  <si>
    <t>待确认事项表</t>
  </si>
  <si>
    <t>补待确认事项表；影响P0/P1判断的事项必须先确认。</t>
  </si>
  <si>
    <t>验收标准</t>
  </si>
  <si>
    <t>可验证验收</t>
  </si>
  <si>
    <t>怎么判断做完且做对？</t>
  </si>
  <si>
    <t>验收项可测试、可观察、可判断；覆盖主流程、核心规则、异常、权限和数据。</t>
  </si>
  <si>
    <t>只写“功能正常即可”“符合需求即可”。</t>
  </si>
  <si>
    <t>怎么玩 / 验收标准</t>
  </si>
  <si>
    <t>补验收标准，使用可观察、可测试的判定句。</t>
  </si>
  <si>
    <t>07_表格模板示例!A116｜验收标准表模板</t>
  </si>
  <si>
    <t>研发自测</t>
  </si>
  <si>
    <t>最小自测用例</t>
  </si>
  <si>
    <t>研发交付前至少跑哪些自测用例？</t>
  </si>
  <si>
    <t>主流程、异常、权限、数据边界有最小用例；可用于交付前冒烟检查。</t>
  </si>
  <si>
    <t>只有测试阶段才发现主流程不通。</t>
  </si>
  <si>
    <t>怎么玩 / 研发自测用例</t>
  </si>
  <si>
    <t>补最小自测用例，覆盖主线、逆向、异常、权限。</t>
  </si>
  <si>
    <t>07_表格模板示例!A135｜自测用例表模板</t>
  </si>
  <si>
    <t>阻塞问题与评审结论</t>
  </si>
  <si>
    <t>P0/P1阻塞判断</t>
  </si>
  <si>
    <t>是否存在未处理的P0/P1问题？是否可进入评审？</t>
  </si>
  <si>
    <t>P0清零；P1已修正或记录风险接受；评审结论明确。</t>
  </si>
  <si>
    <t>带着P0进入评审；P1未说明是否接受风险。</t>
  </si>
  <si>
    <t>评审结论 / 阻塞项清单</t>
  </si>
  <si>
    <t>评审结论卡</t>
  </si>
  <si>
    <t>输出阻塞项清单和评审结论。</t>
  </si>
  <si>
    <t>页面、表单与数据展示检查</t>
  </si>
  <si>
    <t>文本输入</t>
  </si>
  <si>
    <t>文本输入规则</t>
  </si>
  <si>
    <t>有文本框、名称、标题、备注、说明等字段</t>
  </si>
  <si>
    <t>是否写清长度、格式、特殊字符、空格、重复规则？</t>
  </si>
  <si>
    <t>字段长度、格式、字符限制、空格处理、重复处理和提示文案明确。</t>
  </si>
  <si>
    <t>只写“输入名称/备注”，没有长度和格式限制。</t>
  </si>
  <si>
    <t>是什么 / 表单字段规则</t>
  </si>
  <si>
    <t>补字段规则表。</t>
  </si>
  <si>
    <t>07_表格模板示例!A34｜字段规则表模板；07_表格模板示例!A14｜规则表模板</t>
  </si>
  <si>
    <t>必填校验</t>
  </si>
  <si>
    <t>必填项与校验时机</t>
  </si>
  <si>
    <t>有新增、编辑、提交、审批表单</t>
  </si>
  <si>
    <t>哪些字段必填？何时校验？失败提示什么？</t>
  </si>
  <si>
    <t>必填字段、校验时机、失败提示、是否支持暂存明确。</t>
  </si>
  <si>
    <t>表单字段很多，但哪些必填不清；保存和提交校验不区分。</t>
  </si>
  <si>
    <t>是什么 / 表单校验</t>
  </si>
  <si>
    <t>补必填校验表，区分保存、提交、审批等时机。</t>
  </si>
  <si>
    <t>07_表格模板示例!A54｜校验规则表模板；07_表格模板示例!A14｜规则表模板</t>
  </si>
  <si>
    <t>重复校验</t>
  </si>
  <si>
    <t>重复数据校验</t>
  </si>
  <si>
    <t>名称、编码、模板、配置、规则等可能重复</t>
  </si>
  <si>
    <t>按哪个字段查重？查重范围是什么？重复后怎么处理？</t>
  </si>
  <si>
    <t>查重字段、查重范围、大小写/空格处理、重复提示、是否允许覆盖明确。</t>
  </si>
  <si>
    <t>只写“名称不可重复”，没有说明按组织、模块还是全局查重。</t>
  </si>
  <si>
    <t>补重复校验规则。</t>
  </si>
  <si>
    <t>文件上传</t>
  </si>
  <si>
    <t>文件/图片上传规则</t>
  </si>
  <si>
    <t>有文件、图片、附件、导入模板上传</t>
  </si>
  <si>
    <t>支持什么格式、大小、数量？失败后如何处理？</t>
  </si>
  <si>
    <t>格式、大小、数量、失败处理、删除重传、预览/下载规则明确。</t>
  </si>
  <si>
    <t>只写“支持上传附件”。</t>
  </si>
  <si>
    <t>是什么 / 上传规则</t>
  </si>
  <si>
    <t>上传规则表</t>
  </si>
  <si>
    <t>补上传规则表。</t>
  </si>
  <si>
    <t>时间控件</t>
  </si>
  <si>
    <t>时间精度与范围</t>
  </si>
  <si>
    <t>有日期、时间、周期、有效期、截止时间</t>
  </si>
  <si>
    <t>时间精确到年/月/日/时/分/秒？默认值和可选范围是什么？</t>
  </si>
  <si>
    <t>时间精度、默认值、可选范围、跨天/跨月/跨年、开始结束校验明确。</t>
  </si>
  <si>
    <t>时间精度不明；开始时间可晚于结束时间。</t>
  </si>
  <si>
    <t>是什么 / 字段规则</t>
  </si>
  <si>
    <t>补时间控件规则。</t>
  </si>
  <si>
    <t>选择控件</t>
  </si>
  <si>
    <t>单选/复选/下拉规则</t>
  </si>
  <si>
    <t>有单选、复选、下拉、标签选择、弹窗选择</t>
  </si>
  <si>
    <t>默认值、是否可清空、选项来源、禁用项、排序规则是什么？</t>
  </si>
  <si>
    <t>默认值、选项来源、是否支持搜索/多选/清空、禁用项和回显规则明确。</t>
  </si>
  <si>
    <t>只写“选择类型”，选项从哪来不明。</t>
  </si>
  <si>
    <t>是什么 / 控件规则</t>
  </si>
  <si>
    <t>控件规则表</t>
  </si>
  <si>
    <t>补选择控件规则表。</t>
  </si>
  <si>
    <t>多组数据</t>
  </si>
  <si>
    <t>多行/多组/多标签数量控制</t>
  </si>
  <si>
    <t>支持添加多行、多组、多标签、多附件</t>
  </si>
  <si>
    <t>最多能添加几组？能否删除、排序、重复？超出怎么提示？</t>
  </si>
  <si>
    <t>最大数量、最小数量、删除规则、排序规则、重复规则、超限提示明确。</t>
  </si>
  <si>
    <t>能无限添加但没说明上限；重复选择后结果不明。</t>
  </si>
  <si>
    <t>是什么 / 数量规则</t>
  </si>
  <si>
    <t>数量规则表</t>
  </si>
  <si>
    <t>补多组数据规则。</t>
  </si>
  <si>
    <r>
      <t>07_</t>
    </r>
    <r>
      <rPr>
        <sz val="11"/>
        <color rgb="FF1D4ED8"/>
        <rFont val="宋体"/>
        <charset val="134"/>
      </rPr>
      <t>表格模板示例</t>
    </r>
    <r>
      <rPr>
        <sz val="11"/>
        <color rgb="FF1D4ED8"/>
        <rFont val="Carlito"/>
        <charset val="134"/>
      </rPr>
      <t>!A14</t>
    </r>
    <r>
      <rPr>
        <sz val="11"/>
        <color rgb="FF1D4ED8"/>
        <rFont val="宋体"/>
        <charset val="134"/>
      </rPr>
      <t>｜规则表模板</t>
    </r>
  </si>
  <si>
    <t>字段状态</t>
  </si>
  <si>
    <t>字段可编辑/只读/禁用</t>
  </si>
  <si>
    <t>有自动带出、系统生成、只读、禁用、输出字段</t>
  </si>
  <si>
    <t>哪些字段可编辑、只读、禁用、自动生成、仅展示？</t>
  </si>
  <si>
    <t>每个字段的输入/输出/禁用/只读状态明确，并说明状态变化条件。</t>
  </si>
  <si>
    <t>字段展示了，但不知道能不能改。</t>
  </si>
  <si>
    <t>是什么 / 表单字段总览</t>
  </si>
  <si>
    <t>字段总表</t>
  </si>
  <si>
    <t>补字段总表，加入字段状态列。</t>
  </si>
  <si>
    <t>列表查询与数据展示检查</t>
  </si>
  <si>
    <t>列表字段</t>
  </si>
  <si>
    <t>列表字段总览</t>
  </si>
  <si>
    <t>有列表或表格</t>
  </si>
  <si>
    <t>字段名、含义、来源、展示规则、空值展示是否明确？</t>
  </si>
  <si>
    <t>一个表格说明字段名、字段含义、来源、展示规则、空值规则、是否排序/筛选。</t>
  </si>
  <si>
    <t>字段散写在段落里，研发和测试难以核对。</t>
  </si>
  <si>
    <t>是什么 / 列表字段总览</t>
  </si>
  <si>
    <t>表格字段总览</t>
  </si>
  <si>
    <t>补列表字段总览表。</t>
  </si>
  <si>
    <t>默认排序</t>
  </si>
  <si>
    <t>列表默认排序</t>
  </si>
  <si>
    <t>有列表、记录、日志、模板库</t>
  </si>
  <si>
    <t>默认按哪个字段排序？升序还是降序？空值如何处理？</t>
  </si>
  <si>
    <t>默认排序字段、排序方向、空值排序、同值次序明确。</t>
  </si>
  <si>
    <t>列表顺序不明；不同端排序不一致。</t>
  </si>
  <si>
    <t>是什么 / 列表规则</t>
  </si>
  <si>
    <t>排序规则表</t>
  </si>
  <si>
    <t>补默认排序规则。</t>
  </si>
  <si>
    <t>超长展示</t>
  </si>
  <si>
    <t>长文本展示规则</t>
  </si>
  <si>
    <t>有名称、标题、备注、正文、地址等长文本</t>
  </si>
  <si>
    <t>超过多少字符省略？是否悬浮、展开或进入详情？</t>
  </si>
  <si>
    <t>截断长度、展示方式、悬浮/展开/详情入口、移动端适配明确。</t>
  </si>
  <si>
    <t>超长后页面怎么展示不明；重要信息被截断无法查看。</t>
  </si>
  <si>
    <t>是什么 / 展示规则</t>
  </si>
  <si>
    <t>展示规则表</t>
  </si>
  <si>
    <t>补超长展示规则。</t>
  </si>
  <si>
    <t>查询条件</t>
  </si>
  <si>
    <t>查询默认值与重置</t>
  </si>
  <si>
    <t>有筛选区、搜索框、标签筛选</t>
  </si>
  <si>
    <t>默认查询什么？重置后回到什么状态？精准还是模糊？</t>
  </si>
  <si>
    <t>查询类型、默认值、重置规则、空查询、查询按钮触发方式明确。</t>
  </si>
  <si>
    <t>筛选项有了，但查询逻辑不清。</t>
  </si>
  <si>
    <t>是什么 / 查询规则</t>
  </si>
  <si>
    <t>查询规则表</t>
  </si>
  <si>
    <t>补查询规则，区分精准筛选和模糊筛选。</t>
  </si>
  <si>
    <t>查询联动</t>
  </si>
  <si>
    <t>查询条件联动/互斥</t>
  </si>
  <si>
    <t>筛选条件之间有关联、层级、互斥或冲突</t>
  </si>
  <si>
    <t>条件之间如何联动？冲突时哪个条件优先？</t>
  </si>
  <si>
    <t>父子联动、互斥关系、冲突优先级、清空规则明确。</t>
  </si>
  <si>
    <t>公共时间范围和报表自身时间范围互相打架。</t>
  </si>
  <si>
    <t>查询条件联动表</t>
  </si>
  <si>
    <t>补查询联动和冲突处理规则。</t>
  </si>
  <si>
    <t>分页加载</t>
  </si>
  <si>
    <t>分页/加载更多/滚动加载</t>
  </si>
  <si>
    <t>列表数据可能较多</t>
  </si>
  <si>
    <t>是否分页？每页多少条？空态和加载失败怎么处理？</t>
  </si>
  <si>
    <t>分页方式、每页数量、总数展示、加载更多、空态、失败重试明确。</t>
  </si>
  <si>
    <t>数据量大但没有分页说明。</t>
  </si>
  <si>
    <t>分页规则表</t>
  </si>
  <si>
    <t>补分页/加载规则。</t>
  </si>
  <si>
    <t>数据权限</t>
  </si>
  <si>
    <t>列表数据权限</t>
  </si>
  <si>
    <t>多组织、多部门、多角色、多租户或数据隔离场景</t>
  </si>
  <si>
    <t>不同角色能看到哪些数据？数据权限是否与按钮权限分离？</t>
  </si>
  <si>
    <t>数据范围、组织范围、部门范围、本人/本部门/全部规则明确。</t>
  </si>
  <si>
    <t>只控制按钮，不控制数据；低权限用户看到不该看的数据。</t>
  </si>
  <si>
    <t>是什么 / 数据权限</t>
  </si>
  <si>
    <t>数据权限矩阵</t>
  </si>
  <si>
    <t>补数据权限矩阵。</t>
  </si>
  <si>
    <t>操作交互与反馈检查</t>
  </si>
  <si>
    <t>点击状态</t>
  </si>
  <si>
    <t>点击前、中、后状态</t>
  </si>
  <si>
    <t>有保存、提交、审批、删除、批量处理等操作</t>
  </si>
  <si>
    <t>点击前、中、后页面状态分别是什么？是否防重复点击？</t>
  </si>
  <si>
    <t>点击前可用条件、点击中loading、防重复提交、点击后反馈与数据变化明确。</t>
  </si>
  <si>
    <t>只写“点击保存”，没写保存中和保存后。</t>
  </si>
  <si>
    <t>交互状态表</t>
  </si>
  <si>
    <t>补点击前中后状态。</t>
  </si>
  <si>
    <t>二次确认</t>
  </si>
  <si>
    <t>高风险操作确认</t>
  </si>
  <si>
    <t>有删除、撤回、终止、启用、停用、覆盖、批量操作</t>
  </si>
  <si>
    <t>是否需要确认？确认文案、确认后结果、取消后结果是什么？</t>
  </si>
  <si>
    <t>触发动作、确认文案、主按钮/次按钮、确认结果、取消结果明确。</t>
  </si>
  <si>
    <t>只写“弹窗确认”，没有确认后状态和取消后结果。</t>
  </si>
  <si>
    <t>怎么玩 / 操作确认</t>
  </si>
  <si>
    <t>二次确认规则表</t>
  </si>
  <si>
    <t>补二次确认规则。</t>
  </si>
  <si>
    <t>弹窗规则</t>
  </si>
  <si>
    <t>弹窗行为与数据保留</t>
  </si>
  <si>
    <t>有新增、编辑、详情、选择、确认弹窗</t>
  </si>
  <si>
    <t>弹窗打开、关闭、取消、提交失败、数据保留规则是否明确？</t>
  </si>
  <si>
    <t>打开条件、关闭方式、取消行为、提交成功/失败、是否保留输入、是否刷新列表明确。</t>
  </si>
  <si>
    <t>只写“弹出编辑框”；关闭后数据是否保留不明。</t>
  </si>
  <si>
    <t>怎么玩 / 页面交互规则</t>
  </si>
  <si>
    <t>弹窗行为规则表</t>
  </si>
  <si>
    <t>补弹窗行为规则；不写像素宽高，除非业务强依赖。</t>
  </si>
  <si>
    <t>页面跳转</t>
  </si>
  <si>
    <t>页面流转与返回</t>
  </si>
  <si>
    <t>有跨页面跳转、详情页、编辑页、外链跳转</t>
  </si>
  <si>
    <t>从哪里跳到哪里？是否带参数？返回后是否刷新？</t>
  </si>
  <si>
    <t>来源页、目标页、携带参数、返回路径、刷新规则、权限拦截明确。</t>
  </si>
  <si>
    <t>跳过去了，但回来怎么办不明。</t>
  </si>
  <si>
    <t>怎么玩 / 页面流转</t>
  </si>
  <si>
    <t>页面流转图</t>
  </si>
  <si>
    <t>补页面流转规则。</t>
  </si>
  <si>
    <t>提示位置</t>
  </si>
  <si>
    <t>提示文案位置</t>
  </si>
  <si>
    <t>有校验、成功、失败、权限、空态提示</t>
  </si>
  <si>
    <t>提示展示在Toast、字段下方、弹窗内、页面顶部还是空态区域？</t>
  </si>
  <si>
    <t>提示类型、展示位置、展示时机、关闭方式、是否阻塞操作明确。</t>
  </si>
  <si>
    <t>文案有了，但展示位置不明。</t>
  </si>
  <si>
    <t>怎么玩 / 文案与反馈</t>
  </si>
  <si>
    <t>提示文案表</t>
  </si>
  <si>
    <t>补提示位置规则。</t>
  </si>
  <si>
    <t>加载等待</t>
  </si>
  <si>
    <t>加载中、请求中、等待响应</t>
  </si>
  <si>
    <t>有接口请求、保存、提交、批量处理、图表加载</t>
  </si>
  <si>
    <t>加载中、处理中、超时、失败重试分别如何提示？</t>
  </si>
  <si>
    <t>加载状态、超时时间、失败重试、取消操作、重复点击拦截明确。</t>
  </si>
  <si>
    <t>用户等待时页面无状态；批量操作期间可重复点击。</t>
  </si>
  <si>
    <t>加载状态表</t>
  </si>
  <si>
    <t>补加载与等待规则。</t>
  </si>
  <si>
    <t>报表图表与统计检查</t>
  </si>
  <si>
    <t>公共筛选</t>
  </si>
  <si>
    <t>公共查询条件与图表关系</t>
  </si>
  <si>
    <t>有多个报表、图表、看板卡片</t>
  </si>
  <si>
    <t>公共筛选条件是否影响每个图表？图表自身筛选是否与公共条件冲突？</t>
  </si>
  <si>
    <t>公共筛选、单图筛选、优先级、冲突处理、重置规则明确。</t>
  </si>
  <si>
    <t>公共查询月份，报表自身查询年度，口径冲突。</t>
  </si>
  <si>
    <t>是什么 / 报表筛选规则</t>
  </si>
  <si>
    <t>筛选规则表</t>
  </si>
  <si>
    <t>补公共筛选关系表。</t>
  </si>
  <si>
    <t>默认查询范围</t>
  </si>
  <si>
    <t>图表默认查询</t>
  </si>
  <si>
    <t>有图表、看板、统计卡片</t>
  </si>
  <si>
    <t>首次进入默认查本日、本月、近30天、年度还是全部？</t>
  </si>
  <si>
    <t>默认时间范围、默认维度、默认排序、空态明确。</t>
  </si>
  <si>
    <t>打开页面查什么不明；不同图表默认范围不一致。</t>
  </si>
  <si>
    <t>是什么 / 报表规则</t>
  </si>
  <si>
    <t>默认值说明</t>
  </si>
  <si>
    <t>补图表默认查询规则。</t>
  </si>
  <si>
    <t>图表口径</t>
  </si>
  <si>
    <t>图表数据来源与计算口径</t>
  </si>
  <si>
    <t>有统计指标、趋势图、漏斗图、排名图</t>
  </si>
  <si>
    <t>明细来源、汇总来源、计算公式、更新时间是什么？</t>
  </si>
  <si>
    <t>指标定义、公式、数据源、统计粒度、更新频率、边界条件明确。</t>
  </si>
  <si>
    <t>指标名清楚，算法不清。</t>
  </si>
  <si>
    <t>是什么 / 统计口径</t>
  </si>
  <si>
    <t>补图表统计口径。</t>
  </si>
  <si>
    <t>单位精度</t>
  </si>
  <si>
    <t>单位、小数位和取整规则</t>
  </si>
  <si>
    <t>有金额、比例、次数、时长、面积、重量等数据</t>
  </si>
  <si>
    <t>单位是什么？保留几位小数？如何四舍五入？</t>
  </si>
  <si>
    <t>单位、精度、小数位、百分比、取整规则、空值规则明确。</t>
  </si>
  <si>
    <t>同一指标单位混用；保留位数不一致。</t>
  </si>
  <si>
    <t>单位精度表</t>
  </si>
  <si>
    <t>补单位精度规则。</t>
  </si>
  <si>
    <t>极值空值</t>
  </si>
  <si>
    <t>图表极值与空值展示</t>
  </si>
  <si>
    <t>图表可能无数据、全0、极大值或极小值</t>
  </si>
  <si>
    <t>0、空、极大值、极小值、异常值怎么展示？</t>
  </si>
  <si>
    <t>空态、0值、极值压缩、异常值提示、是否截断或缩放明确。</t>
  </si>
  <si>
    <t>图表被异常值压扁；无数据时显示空白。</t>
  </si>
  <si>
    <t>是什么 / 图表规则</t>
  </si>
  <si>
    <t>图表展示规则表</t>
  </si>
  <si>
    <t>补极值与空值展示规则。</t>
  </si>
  <si>
    <t>图表动效</t>
  </si>
  <si>
    <t>图表动效是否承载业务状态</t>
  </si>
  <si>
    <t>动效用于表达加载、刷新、状态变化时</t>
  </si>
  <si>
    <t>动效代表什么状态？是否影响用户判断？</t>
  </si>
  <si>
    <t>仅当动效承载业务状态时写清含义和触发条件；纯视觉动效不进入PRD强门禁。</t>
  </si>
  <si>
    <t>把纯装饰动效写成PRD强要求。</t>
  </si>
  <si>
    <t>怎么玩 / 图表交互</t>
  </si>
  <si>
    <t>图表动效说明</t>
  </si>
  <si>
    <t>如动效承载状态则补说明，否则降级为设计细节。</t>
  </si>
  <si>
    <t>初始化历史与测试检查</t>
  </si>
  <si>
    <t>初始化数据</t>
  </si>
  <si>
    <t>初始化配置/字典/模板</t>
  </si>
  <si>
    <t>新功能依赖默认配置、字典、模板、分组或规则</t>
  </si>
  <si>
    <t>是否需要初始化数据？初始化内容是什么？谁维护？</t>
  </si>
  <si>
    <t>初始化内容、创建时机、默认启用状态、维护角色、变更规则明确。</t>
  </si>
  <si>
    <t>上线后没有默认数据，功能不可用。</t>
  </si>
  <si>
    <t>怎么玩 / 初始化规则</t>
  </si>
  <si>
    <t>初始化规则表</t>
  </si>
  <si>
    <t>补初始化数据规则。</t>
  </si>
  <si>
    <t>历史数据</t>
  </si>
  <si>
    <t>历史数据处理</t>
  </si>
  <si>
    <t>新功能影响老数据或老状态</t>
  </si>
  <si>
    <t>老数据是否迁移、补字段、状态映射、兼容旧逻辑？</t>
  </si>
  <si>
    <t>迁移范围、状态映射、字段补齐、失败处理、回滚方案明确。</t>
  </si>
  <si>
    <t>老数据进入新流程后状态异常。</t>
  </si>
  <si>
    <t>怎么玩 / 历史数据处理</t>
  </si>
  <si>
    <t>历史数据处理方案</t>
  </si>
  <si>
    <t>补历史数据处理方案。</t>
  </si>
  <si>
    <t>存量配置</t>
  </si>
  <si>
    <t>存量配置影响</t>
  </si>
  <si>
    <t>修改已有规则、模板、配置、权限、字典</t>
  </si>
  <si>
    <t>新规则是否影响存量配置？是否需要转换？</t>
  </si>
  <si>
    <t>存量配置是否生效、是否需要升级、是否兼容旧规则、用户是否感知明确。</t>
  </si>
  <si>
    <t>新老规则混跑但未说明。</t>
  </si>
  <si>
    <t>怎么玩 / 兼容规则</t>
  </si>
  <si>
    <t>存量影响表</t>
  </si>
  <si>
    <t>补存量配置影响说明。</t>
  </si>
  <si>
    <t>上下游兼容</t>
  </si>
  <si>
    <t>上下游模块影响</t>
  </si>
  <si>
    <t>涉及其他模块读取、写入、同步、统计或触发</t>
  </si>
  <si>
    <t>本功能变更是否影响上下游？失败后怎么兜底？</t>
  </si>
  <si>
    <t>上游来源、下游消费、同步时机、失败处理、影响范围明确。</t>
  </si>
  <si>
    <t>本功能改了，下游报表或消息规则错了。</t>
  </si>
  <si>
    <t>是什么 / 上下游影响</t>
  </si>
  <si>
    <t>影响范围表</t>
  </si>
  <si>
    <t>补上下游影响分析。</t>
  </si>
  <si>
    <t>术语一致</t>
  </si>
  <si>
    <t>术语与对象命名统一</t>
  </si>
  <si>
    <t>同一对象是否全篇使用同一名称？</t>
  </si>
  <si>
    <t>核心对象、状态、角色、字段、按钮名称统一；必要时提供术语表。</t>
  </si>
  <si>
    <t>模板、方案、配置、规则混用，读者不确定是否同一对象。</t>
  </si>
  <si>
    <t>附录 / 术语表</t>
  </si>
  <si>
    <t>术语表</t>
  </si>
  <si>
    <t>补术语表或统一全篇命名。</t>
  </si>
  <si>
    <t>能力边界</t>
  </si>
  <si>
    <t>系统能力/AI能力边界</t>
  </si>
  <si>
    <t>涉及现有系统能力、外部能力、AI能力或未来规划</t>
  </si>
  <si>
    <t>本期已支持、暂不支持、未来规划是否区分？</t>
  </si>
  <si>
    <t>能力边界清楚；不把未来规划写成本期能力；AI低置信度和人工兜底明确。</t>
  </si>
  <si>
    <t>把未来可做写成当前已支持。</t>
  </si>
  <si>
    <t>为什么做 / 能力边界</t>
  </si>
  <si>
    <t>能力边界表</t>
  </si>
  <si>
    <t>补能力边界说明。</t>
  </si>
  <si>
    <t>不越界</t>
  </si>
  <si>
    <t>不写技术实现和设计参数</t>
  </si>
  <si>
    <t>所有PRD</t>
  </si>
  <si>
    <t>是否避免写数据库表、接口字段、代码逻辑、色号、像素、字号？</t>
  </si>
  <si>
    <t>只定义产品行为、业务规则、数据口径、验收标准；技术和视觉细节留给对应文档。</t>
  </si>
  <si>
    <t>PRD直接规定数据库结构、接口字段或视觉像素，且影响研发/设计判断空间。</t>
  </si>
  <si>
    <t>全篇检查</t>
  </si>
  <si>
    <t>越界检查表</t>
  </si>
  <si>
    <t>将技术/视觉实现细节移至技术方案或设计说明。</t>
  </si>
  <si>
    <t>异常验收与测试检查</t>
  </si>
  <si>
    <t>空态</t>
  </si>
  <si>
    <t>无数据处理</t>
  </si>
  <si>
    <t>列表、图表、详情、搜索结果可能无数据</t>
  </si>
  <si>
    <t>没有数据时展示什么？用户能做什么？</t>
  </si>
  <si>
    <t>空态文案、可操作入口、是否可创建/重试/清空筛选明确。</t>
  </si>
  <si>
    <t>无数据时页面空白或误以为加载失败。</t>
  </si>
  <si>
    <t>怎么玩 / 异常与空态</t>
  </si>
  <si>
    <t>空态规则表</t>
  </si>
  <si>
    <t>补空态处理。</t>
  </si>
  <si>
    <t>失败态</t>
  </si>
  <si>
    <t>保存/提交/加载失败</t>
  </si>
  <si>
    <t>有请求、保存、提交、导入、同步、计算</t>
  </si>
  <si>
    <t>失败时是否保留数据？是否允许重试？提示什么？</t>
  </si>
  <si>
    <t>失败原因、提示文案、数据保留、重试、回滚、日志或人工处理明确。</t>
  </si>
  <si>
    <t>提交失败后输入丢失；失败原因无提示。</t>
  </si>
  <si>
    <t>失败态规则表</t>
  </si>
  <si>
    <t>补失败态规则。</t>
  </si>
  <si>
    <t>重复态</t>
  </si>
  <si>
    <t>重复提交/重复配置/重复选择</t>
  </si>
  <si>
    <t>可能发生重复提交、重复选择、重复配置</t>
  </si>
  <si>
    <t>重复时拦截、覆盖、合并还是提示？</t>
  </si>
  <si>
    <t>重复判断标准、处理方式、提示文案、是否允许覆盖明确。</t>
  </si>
  <si>
    <t>同一数据被重复选中或重复生成。</t>
  </si>
  <si>
    <t>重复处理表</t>
  </si>
  <si>
    <t>补重复处理规则。</t>
  </si>
  <si>
    <t>冲突态</t>
  </si>
  <si>
    <t>多人编辑/状态变化/数据已更新</t>
  </si>
  <si>
    <t>多人协作、审批流、状态流转、长时间编辑</t>
  </si>
  <si>
    <t>数据被别人修改或状态已变化后，当前用户继续操作怎么办？</t>
  </si>
  <si>
    <t>冲突检测、提示、刷新、覆盖、撤销或重新提交规则明确。</t>
  </si>
  <si>
    <t>用户提交时数据已被别人改过，但系统未处理。</t>
  </si>
  <si>
    <t>冲突处理表</t>
  </si>
  <si>
    <t>补冲突处理规则。</t>
  </si>
  <si>
    <t>权限不足</t>
  </si>
  <si>
    <t>无权限访问或操作</t>
  </si>
  <si>
    <t>有角色权限、数据权限、页面入口控制</t>
  </si>
  <si>
    <t>无权限时入口是否展示？点击后如何提示？</t>
  </si>
  <si>
    <t>入口可见规则、按钮禁用/隐藏、越权访问提示、数据脱敏或隔离明确。</t>
  </si>
  <si>
    <t>低权限用户看到入口，点击后报错不清。</t>
  </si>
  <si>
    <t>怎么玩 / 权限异常</t>
  </si>
  <si>
    <t>权限异常表</t>
  </si>
  <si>
    <t>补权限不足处理规则。</t>
  </si>
  <si>
    <t>组织表达优化</t>
  </si>
  <si>
    <t>章节顺序</t>
  </si>
  <si>
    <t>先结论后依据</t>
  </si>
  <si>
    <t>章节是否先给结论，再给依据和细节？</t>
  </si>
  <si>
    <t>每节先给判断，后列事实、规则、例子；读者能快速定位结论。</t>
  </si>
  <si>
    <t>背景铺太长，核心结论埋在段落深处。</t>
  </si>
  <si>
    <t>全篇结构</t>
  </si>
  <si>
    <t>金字塔结构</t>
  </si>
  <si>
    <t>调整章节顺序，结论前置。</t>
  </si>
  <si>
    <t>表格优先</t>
  </si>
  <si>
    <t>规则、字段、权限尽量表格化</t>
  </si>
  <si>
    <t>字段、规则、权限、验收较多时</t>
  </si>
  <si>
    <t>能用表格说清的内容是否避免长段落？</t>
  </si>
  <si>
    <t>字段、权限、规则、验收用表格表达，减少重复描述。</t>
  </si>
  <si>
    <t>一个字段一段说明，内容重复且难对齐。</t>
  </si>
  <si>
    <t>表格</t>
  </si>
  <si>
    <t>将重复段落改成总表。</t>
  </si>
  <si>
    <t>图形优先</t>
  </si>
  <si>
    <t>流程、状态、关系图形化</t>
  </si>
  <si>
    <t>有流程、状态机、关联关系时</t>
  </si>
  <si>
    <t>流程、状态、上下游是否用图表达？</t>
  </si>
  <si>
    <t>主流程用流程图，状态用状态机图，关联关系用关系图。</t>
  </si>
  <si>
    <t>复杂流程全靠文字堆叠。</t>
  </si>
  <si>
    <t>流程图 / 状态机图 / 关系图</t>
  </si>
  <si>
    <t>补图形化表达。</t>
  </si>
  <si>
    <t>示例补充</t>
  </si>
  <si>
    <t>复杂规则正反例</t>
  </si>
  <si>
    <t>规则复杂、容易误解或有边界条件</t>
  </si>
  <si>
    <t>是否至少给出一个正例和一个反例？</t>
  </si>
  <si>
    <t>复杂规则有正例、反例或边界样例，帮助研发测试理解。</t>
  </si>
  <si>
    <t>规则写了，但测试不知道边界怎么验。</t>
  </si>
  <si>
    <t>规则章节</t>
  </si>
  <si>
    <t>示例表</t>
  </si>
  <si>
    <t>补正例/反例。</t>
  </si>
  <si>
    <t>风险接受</t>
  </si>
  <si>
    <t>P1风险接受记录</t>
  </si>
  <si>
    <t>存在P1但PM决定暂不修正时</t>
  </si>
  <si>
    <t>是否记录风险接受原因、责任人和后续处理方式？</t>
  </si>
  <si>
    <t>风险接受项有原因、影响范围、责任人、接受时间和后续动作。</t>
  </si>
  <si>
    <t>口头说“先这样”，文档没有记录。</t>
  </si>
  <si>
    <t>评审结论 / 风险接受项</t>
  </si>
  <si>
    <t>补风险接受记录。</t>
  </si>
  <si>
    <t>07_表格模板示例!A154｜风险接受表模板</t>
  </si>
  <si>
    <t>版本留痕</t>
  </si>
  <si>
    <t>版本与变更记录</t>
  </si>
  <si>
    <t>多人协作、评审多轮、上线后回溯</t>
  </si>
  <si>
    <t>是否记录版本、变更点、变更原因和确认人？</t>
  </si>
  <si>
    <t>变更记录可追溯，重要判断变化有原因和确认人。</t>
  </si>
  <si>
    <t>三个月后不知道为什么这么定。</t>
  </si>
  <si>
    <t>文档首页 / 变更记录</t>
  </si>
  <si>
    <t>变更记录表</t>
  </si>
  <si>
    <t>补版本和变更记录。</t>
  </si>
  <si>
    <t>否</t>
  </si>
  <si>
    <t>部分</t>
  </si>
  <si>
    <t>复杂度</t>
  </si>
  <si>
    <t>修正动作类型</t>
  </si>
  <si>
    <t>L1</t>
  </si>
  <si>
    <t>补规则</t>
  </si>
  <si>
    <t>L2</t>
  </si>
  <si>
    <t>补流程</t>
  </si>
  <si>
    <t>L3</t>
  </si>
  <si>
    <t>补状态机</t>
  </si>
  <si>
    <t>L4</t>
  </si>
  <si>
    <t>流程图</t>
  </si>
  <si>
    <t>补权限矩阵</t>
  </si>
  <si>
    <t>状态机图</t>
  </si>
  <si>
    <t>补数据口径</t>
  </si>
  <si>
    <t>补异常兜底</t>
  </si>
  <si>
    <t>补验收标准</t>
  </si>
  <si>
    <t>待判断</t>
  </si>
  <si>
    <t>进入待确认</t>
  </si>
  <si>
    <t>记录风险接受</t>
  </si>
  <si>
    <t>移至技术方案/设计说明</t>
  </si>
  <si>
    <t>问题等级</t>
  </si>
  <si>
    <t>含义</t>
  </si>
  <si>
    <t>典型问题</t>
  </si>
  <si>
    <t>门禁行为</t>
  </si>
  <si>
    <t>处理规则</t>
  </si>
  <si>
    <t>致命问题</t>
  </si>
  <si>
    <t>真实问题不清、范围不清、核心流程不可执行、关键决策缺失、未确认事实写成事实、上下文冲突、明显越界</t>
  </si>
  <si>
    <t>必须阻塞最终输出和评审</t>
  </si>
  <si>
    <t>必须修正，不能仅标记风险接受；修正后重新审核相关章节</t>
  </si>
  <si>
    <t>高风险问题</t>
  </si>
  <si>
    <t>缺少非目标、异常处理、权限规则、状态变化、验收标准、上下游影响、数据来源或统计口径</t>
  </si>
  <si>
    <t>默认阻塞</t>
  </si>
  <si>
    <t>优先修正；如PM明确接受风险，必须记录原因、责任人和后续动作</t>
  </si>
  <si>
    <t>质量问题</t>
  </si>
  <si>
    <t>局部歧义、示例不足、验收偏粗、章节组织不顺、术语局部漂移</t>
  </si>
  <si>
    <t>不默认阻塞</t>
  </si>
  <si>
    <t>进入评审前建议修正；反复出现时进入模板或Skill迭代清单</t>
  </si>
  <si>
    <t>表达、格式、示例、顺序、可读性优化</t>
  </si>
  <si>
    <t>不阻塞</t>
  </si>
  <si>
    <t>不影响交付节奏时处理，不得因此扩大需求范围</t>
  </si>
  <si>
    <t>需求类型</t>
  </si>
  <si>
    <t>PRD最低要求</t>
  </si>
  <si>
    <t>重点检查</t>
  </si>
  <si>
    <t>典型适用场景</t>
  </si>
  <si>
    <t>文案、字段、配置、小规则调整</t>
  </si>
  <si>
    <t>可用变更说明，但必须写清变更点、影响范围、规则、验收方式</t>
  </si>
  <si>
    <t>范围、规则、验收、影响范围</t>
  </si>
  <si>
    <t>改字段名、增加小校验、调整提示文案</t>
  </si>
  <si>
    <t>单页面、单流程功能</t>
  </si>
  <si>
    <t>标准PRD，覆盖背景、范围、流程、规则、异常、验收</t>
  </si>
  <si>
    <t>主流程、字段规则、异常、验收</t>
  </si>
  <si>
    <t>新增一个配置页、一个列表页、一个审批动作</t>
  </si>
  <si>
    <t>多角色、多状态、多异常功能</t>
  </si>
  <si>
    <t>完整PRD，覆盖角色权限、状态流转、异常、上下游、数据边界</t>
  </si>
  <si>
    <t>权限、状态机、异常、数据、上下游、自测</t>
  </si>
  <si>
    <t>审批流、模板配置、消息中心、任务流转</t>
  </si>
  <si>
    <t>跨系统、跨模块、数据/权限/AI能力类需求</t>
  </si>
  <si>
    <t>完整PRD + 风险评审 + AI实现就绪检查</t>
  </si>
  <si>
    <t>能力边界、数据口径、系统依赖、低置信度/失败兜底、风险接受</t>
  </si>
  <si>
    <t>智能分析、跨系统同步、看板指标、复杂权限体系</t>
  </si>
  <si>
    <t>模块</t>
  </si>
  <si>
    <t>内容</t>
  </si>
  <si>
    <t>根定义</t>
  </si>
  <si>
    <t>一份好的 PRD，不是把功能列全，而是把产品判断固定成团队可执行、可验证、可追责的共同答案。</t>
  </si>
  <si>
    <t>唯一质量标准</t>
  </si>
  <si>
    <t>读的人不需要再回来找 PM 确认。</t>
  </si>
  <si>
    <t>四个核心指标</t>
  </si>
  <si>
    <t>边界清晰、判断显性、不留猜疑、信息准确。</t>
  </si>
  <si>
    <t>PRD应写</t>
  </si>
  <si>
    <t>背景与问题、本期目标、范围与非目标、用户与角色、业务流程、功能规则、异常处理、权限规则、数据说明、验收标准、研发自测用例、待确认事项。</t>
  </si>
  <si>
    <t>PRD不应写</t>
  </si>
  <si>
    <t>数据库表结构、接口字段细节、代码逻辑、色号、像素、字号、未确认事实、未来想法混入本期。</t>
  </si>
  <si>
    <t>使用原则</t>
  </si>
  <si>
    <t>复杂度可以影响文档篇幅，不能降低核心判断质量；小需求可以轻，但不能虚。</t>
  </si>
  <si>
    <t>门禁原则</t>
  </si>
  <si>
    <t>P0必须阻塞；P1默认阻塞，除非PM明确接受风险并记录原因；P2建议修正；P3仅作为优化建议。</t>
  </si>
  <si>
    <t>AI实现就绪</t>
  </si>
  <si>
    <t>无隐含默认值、无未标记假设、输入/处理/输出清楚、异常兜底清楚、验收用例明确。</t>
  </si>
  <si>
    <t>来源说明</t>
  </si>
  <si>
    <t>根据用户上传的 PRD Quality Standard 与 PRD 定义与质量标准整理，并结合原始需求自查清单重构为 V3.2 质量门禁版。</t>
  </si>
  <si>
    <t>步骤</t>
  </si>
  <si>
    <t>操作说明</t>
  </si>
  <si>
    <t>注意事项</t>
  </si>
  <si>
    <t>1</t>
  </si>
  <si>
    <t>确认需求复杂度</t>
  </si>
  <si>
    <t>先判断需求属于 L1/L2/L3/L4，避免小需求被重型清单拖慢，也避免复杂需求写轻。</t>
  </si>
  <si>
    <t>2</t>
  </si>
  <si>
    <t>筛选“是否适用”</t>
  </si>
  <si>
    <t>在 01 表中将不适用项改为“否”；多角色、状态流转、数据统计类需求要重点保留 P0/P1 项。</t>
  </si>
  <si>
    <t>3</t>
  </si>
  <si>
    <t>填写“是否已写”</t>
  </si>
  <si>
    <t>PRD 完整覆盖填“是”，完全没写填“否”，写了但不够可执行填“部分”。</t>
  </si>
  <si>
    <t>4</t>
  </si>
  <si>
    <t>填写“是否已检查”</t>
  </si>
  <si>
    <t>只有已核对 PRD 证据位置并确认达标，才填“是”。</t>
  </si>
  <si>
    <t>5</t>
  </si>
  <si>
    <t>补充 PRD 证据位置</t>
  </si>
  <si>
    <t>填写章节号、表名、图名或段落位置，让评审人能快速定位证据。</t>
  </si>
  <si>
    <t>6</t>
  </si>
  <si>
    <t>处理门禁状态</t>
  </si>
  <si>
    <t>P0阻塞必须修正；P1风险默认修正，若接受风险，需要在风险接受表记录。</t>
  </si>
  <si>
    <t>7</t>
  </si>
  <si>
    <t>查看评审看板</t>
  </si>
  <si>
    <t>回到 00_评审看板，确认 P0 清零、P1 已处理，再进入评审。</t>
  </si>
  <si>
    <t>8</t>
  </si>
  <si>
    <t>复盘沉淀</t>
  </si>
  <si>
    <t>反复出现的 P2/P3 问题，应回写到 PRD 模板、Skill 规则或示例库中。</t>
  </si>
  <si>
    <t>V3.3 新增</t>
  </si>
  <si>
    <t>07_表格模板示例</t>
  </si>
  <si>
    <t>提供规则表、字段规则表、校验规则表、数据口径表、异常规则表、验收标准表、自测用例表、风险接受表的空白模板、示例数据和不合格写法。</t>
  </si>
  <si>
    <t>PRD 表格模板示例库｜V3.3</t>
  </si>
  <si>
    <t>用途：当 01_需求自查清单 中出现“建议呈现方式”时，可在本页找到可复制的模板结构、示例数据与不合格写法。</t>
  </si>
  <si>
    <t>模板名称</t>
  </si>
  <si>
    <t>适用场景</t>
  </si>
  <si>
    <t>解决的问题</t>
  </si>
  <si>
    <t>对应检查域</t>
  </si>
  <si>
    <t>常见 PRD 章节</t>
  </si>
  <si>
    <t>业务规则、操作规则、默认规则、状态规则</t>
  </si>
  <si>
    <t>把判断写死</t>
  </si>
  <si>
    <t>A14｜规则表模板</t>
  </si>
  <si>
    <t>表单字段、列表字段、详情字段、配置字段</t>
  </si>
  <si>
    <t>把字段定义写清</t>
  </si>
  <si>
    <t>页面、表单与数据展示</t>
  </si>
  <si>
    <t>是什么 / 字段说明</t>
  </si>
  <si>
    <t>A34｜字段规则表模板</t>
  </si>
  <si>
    <t>保存、提交、审批、发布前校验</t>
  </si>
  <si>
    <t>把拦截条件写清</t>
  </si>
  <si>
    <t>判断显性 / 不留猜疑</t>
  </si>
  <si>
    <t>怎么玩 / 校验规则</t>
  </si>
  <si>
    <t>A54｜校验规则表模板</t>
  </si>
  <si>
    <t>看板、报表、统计指标、列表数据来源</t>
  </si>
  <si>
    <t>把数据来源和计算方式写清</t>
  </si>
  <si>
    <t>A74｜数据口径表模板</t>
  </si>
  <si>
    <t>把出岔子时怎么办写清</t>
  </si>
  <si>
    <t>异常、验收与测试</t>
  </si>
  <si>
    <t>怎么玩 / 异常兜底</t>
  </si>
  <si>
    <t>A94｜异常规则表模板</t>
  </si>
  <si>
    <t>需求评审、测试验收、业务验收</t>
  </si>
  <si>
    <t>把完成标准写清</t>
  </si>
  <si>
    <t>A116｜验收标准表模板</t>
  </si>
  <si>
    <t>研发交付前冒烟测试、PM 自查</t>
  </si>
  <si>
    <t>把最小可跑路径写清</t>
  </si>
  <si>
    <t>A135｜自测用例表模板</t>
  </si>
  <si>
    <t>P1 风险暂不修、待确认项暂挂起</t>
  </si>
  <si>
    <t>把风险接受留痕</t>
  </si>
  <si>
    <t>风险接受 / 待确认事项</t>
  </si>
  <si>
    <t>A154｜风险接受表模板</t>
  </si>
  <si>
    <t>B. 规则表模板</t>
  </si>
  <si>
    <t>用于描述业务规则、操作规则、默认规则、状态规则。</t>
  </si>
  <si>
    <t>使用说明</t>
  </si>
  <si>
    <t>必须回答：什么条件下，谁对什么对象做什么，系统如何处理，处理后结果是什么。</t>
  </si>
  <si>
    <t>空白模板（可复制到 PRD）</t>
  </si>
  <si>
    <t>规则编号</t>
  </si>
  <si>
    <t>规则对象</t>
  </si>
  <si>
    <t>触发条件</t>
  </si>
  <si>
    <t>规则说明</t>
  </si>
  <si>
    <t>系统处理</t>
  </si>
  <si>
    <t>处理后结果</t>
  </si>
  <si>
    <t>异常处理</t>
  </si>
  <si>
    <t>适用角色</t>
  </si>
  <si>
    <t>示例数据</t>
  </si>
  <si>
    <t>R001</t>
  </si>
  <si>
    <t>审批提交</t>
  </si>
  <si>
    <t>作业票审批</t>
  </si>
  <si>
    <t>申请人点击提交审批</t>
  </si>
  <si>
    <t>仅当必填字段完整且当前状态为草稿时允许提交</t>
  </si>
  <si>
    <t>校验字段完整性并生成审批任务</t>
  </si>
  <si>
    <t>作业票状态变为待审批</t>
  </si>
  <si>
    <t>校验失败时阻断提交并提示原因</t>
  </si>
  <si>
    <t>申请人</t>
  </si>
  <si>
    <t>需同步状态机</t>
  </si>
  <si>
    <t>R002</t>
  </si>
  <si>
    <t>删除操作</t>
  </si>
  <si>
    <t>模板管理</t>
  </si>
  <si>
    <t>管理员点击删除</t>
  </si>
  <si>
    <t>已被引用的数据不允许删除</t>
  </si>
  <si>
    <t>判断引用关系</t>
  </si>
  <si>
    <t>未引用则删除，已引用则阻断</t>
  </si>
  <si>
    <t>提示“该数据已被引用，无法删除”</t>
  </si>
  <si>
    <t>管理员</t>
  </si>
  <si>
    <t>建议逻辑删除</t>
  </si>
  <si>
    <t>不合格写法</t>
  </si>
  <si>
    <t>问题写法</t>
  </si>
  <si>
    <t>为什么不合格</t>
  </si>
  <si>
    <t>支持审批</t>
  </si>
  <si>
    <t>没写触发条件、处理规则、处理结果</t>
  </si>
  <si>
    <t>管理员可以删除</t>
  </si>
  <si>
    <t>没写哪些状态可删、被引用后能否删除</t>
  </si>
  <si>
    <t>默认展示最新数据</t>
  </si>
  <si>
    <t>没写“最新”的排序字段和时间口径</t>
  </si>
  <si>
    <t>C. 字段规则表模板</t>
  </si>
  <si>
    <t>用于描述表单字段、列表字段、详情字段、配置字段。</t>
  </si>
  <si>
    <t>解决：字段是什么，谁填写，怎么填写，从哪里来，能不能改。</t>
  </si>
  <si>
    <t>字段名称</t>
  </si>
  <si>
    <t>字段含义</t>
  </si>
  <si>
    <t>字段类型</t>
  </si>
  <si>
    <t>输入/展示</t>
  </si>
  <si>
    <t>是否必填</t>
  </si>
  <si>
    <t>长度/格式</t>
  </si>
  <si>
    <t>默认值</t>
  </si>
  <si>
    <t>选项来源</t>
  </si>
  <si>
    <t>空值展示</t>
  </si>
  <si>
    <t>消息模板名称</t>
  </si>
  <si>
    <t>文本</t>
  </si>
  <si>
    <t>输入</t>
  </si>
  <si>
    <t>1 到 32 字符</t>
  </si>
  <si>
    <t>无</t>
  </si>
  <si>
    <t>用户手动输入</t>
  </si>
  <si>
    <t>可编辑</t>
  </si>
  <si>
    <t>同一业务模块下不可重复</t>
  </si>
  <si>
    <t>启用状态</t>
  </si>
  <si>
    <t>模板是否启用</t>
  </si>
  <si>
    <t>开关</t>
  </si>
  <si>
    <t>启用 / 停用</t>
  </si>
  <si>
    <t>启用</t>
  </si>
  <si>
    <t>系统固定枚举</t>
  </si>
  <si>
    <t>停用后不触发消息</t>
  </si>
  <si>
    <t>最近更新时间</t>
  </si>
  <si>
    <t>最近一次保存时间</t>
  </si>
  <si>
    <t>时间</t>
  </si>
  <si>
    <t>展示</t>
  </si>
  <si>
    <t>年-月-日 时:分</t>
  </si>
  <si>
    <t>系统生成</t>
  </si>
  <si>
    <t>系统记录</t>
  </si>
  <si>
    <t>只读</t>
  </si>
  <si>
    <t>--</t>
  </si>
  <si>
    <t>保存成功后自动更新</t>
  </si>
  <si>
    <t>填写名称</t>
  </si>
  <si>
    <t>没写长度、是否必填、是否重复、是否可编辑</t>
  </si>
  <si>
    <t>展示更新时间</t>
  </si>
  <si>
    <t>没写时间格式、更新时间触发条件、空值展示</t>
  </si>
  <si>
    <t>D. 校验规则表模板</t>
  </si>
  <si>
    <t>用于描述必填校验、格式校验、重复校验、提交前校验、审批前校验。</t>
  </si>
  <si>
    <t>必须回答：什么时候校验，按什么条件校验，失败时是否阻断，提示什么。</t>
  </si>
  <si>
    <t>校验编号</t>
  </si>
  <si>
    <t>校验对象</t>
  </si>
  <si>
    <t>校验时机</t>
  </si>
  <si>
    <t>校验条件</t>
  </si>
  <si>
    <t>通过标准</t>
  </si>
  <si>
    <t>失败提示</t>
  </si>
  <si>
    <t>是否阻断</t>
  </si>
  <si>
    <t>校验层级</t>
  </si>
  <si>
    <t>V001</t>
  </si>
  <si>
    <t>点击保存时</t>
  </si>
  <si>
    <t>模板名称为空</t>
  </si>
  <si>
    <t>模板名称已填写</t>
  </si>
  <si>
    <t>请输入模板名称</t>
  </si>
  <si>
    <t>前端 + 后端</t>
  </si>
  <si>
    <t>保存时必须二次校验</t>
  </si>
  <si>
    <t>V002</t>
  </si>
  <si>
    <t>同业务模块下名称重复</t>
  </si>
  <si>
    <t>当前名称未重复</t>
  </si>
  <si>
    <t>模板名称已存在，请修改后保存</t>
  </si>
  <si>
    <t>后端</t>
  </si>
  <si>
    <t>按所属模块 + 模板名称查重</t>
  </si>
  <si>
    <t>V003</t>
  </si>
  <si>
    <t>消息正文</t>
  </si>
  <si>
    <t>正文超过 500 字</t>
  </si>
  <si>
    <t>正文不超过 500 字</t>
  </si>
  <si>
    <t>消息正文不能超过 500 字</t>
  </si>
  <si>
    <t>前端</t>
  </si>
  <si>
    <t>字数含中文、英文、标点</t>
  </si>
  <si>
    <t>名称不能为空</t>
  </si>
  <si>
    <t>没写校验时机、失败提示、是否阻断</t>
  </si>
  <si>
    <t>名称不可重复</t>
  </si>
  <si>
    <t>没写查重范围和组合条件</t>
  </si>
  <si>
    <t>E. 数据口径表模板</t>
  </si>
  <si>
    <t>用于描述列表数据来源、报表数据来源、看板指标、统计口径。</t>
  </si>
  <si>
    <t>必须回答：数据从哪里来，怎么算，按什么范围算，多久更新，谁能看。</t>
  </si>
  <si>
    <t>关键提醒</t>
  </si>
  <si>
    <t>数据类需求必须写数据为空、数据延迟、数据口径不一致的处理方式。</t>
  </si>
  <si>
    <t>指标/数据项</t>
  </si>
  <si>
    <t>业务定义</t>
  </si>
  <si>
    <t>计算口径</t>
  </si>
  <si>
    <t>统计范围</t>
  </si>
  <si>
    <t>更新时间</t>
  </si>
  <si>
    <t>单位/精度</t>
  </si>
  <si>
    <t>权限过滤</t>
  </si>
  <si>
    <t>空值/异常值处理</t>
  </si>
  <si>
    <t>未读消息数</t>
  </si>
  <si>
    <t>当前用户未读站内信数量</t>
  </si>
  <si>
    <t>站内信消息数据</t>
  </si>
  <si>
    <t>接收人=当前用户 且 状态=未读</t>
  </si>
  <si>
    <t>当前登录用户</t>
  </si>
  <si>
    <t>实时</t>
  </si>
  <si>
    <t>条，整数</t>
  </si>
  <si>
    <t>按用户过滤</t>
  </si>
  <si>
    <t>无数据展示 0</t>
  </si>
  <si>
    <t>不包含已删除消息</t>
  </si>
  <si>
    <t>审批待办数</t>
  </si>
  <si>
    <t>当前用户待处理审批数量</t>
  </si>
  <si>
    <t>审批任务数据</t>
  </si>
  <si>
    <t>当前节点审批人=当前用户 且 状态=待审批</t>
  </si>
  <si>
    <t>按审批权限过滤</t>
  </si>
  <si>
    <t>已超时待办仍计入</t>
  </si>
  <si>
    <t>异常关闭率</t>
  </si>
  <si>
    <t>已关闭异常数占异常总数比例</t>
  </si>
  <si>
    <t>巡检异常记录</t>
  </si>
  <si>
    <t>已关闭异常数 / 异常总数 × 100%</t>
  </si>
  <si>
    <t>默认近 30 天</t>
  </si>
  <si>
    <t>T+1</t>
  </si>
  <si>
    <t>百分比，保留 1 位小数</t>
  </si>
  <si>
    <t>按部门权限过滤</t>
  </si>
  <si>
    <t>分母为 0 时展示 --</t>
  </si>
  <si>
    <t>需说明异常总数是否含已作废</t>
  </si>
  <si>
    <t>F. 异常规则表模板</t>
  </si>
  <si>
    <t>用于描述空态、失败态、重复态、冲突态、权限不足、上下游异常、状态不可逆。</t>
  </si>
  <si>
    <t>必须回答：出岔子时，系统怎么处理，用户看到什么，数据怎么变化，能不能恢复。</t>
  </si>
  <si>
    <t>异常类型</t>
  </si>
  <si>
    <t>触发场景</t>
  </si>
  <si>
    <t>用户提示</t>
  </si>
  <si>
    <t>数据状态</t>
  </si>
  <si>
    <t>是否可重试/恢复</t>
  </si>
  <si>
    <t>责任人</t>
  </si>
  <si>
    <t>验收点</t>
  </si>
  <si>
    <t>列表无数据</t>
  </si>
  <si>
    <t>展示空态，不展示表格数据</t>
  </si>
  <si>
    <t>暂无数据</t>
  </si>
  <si>
    <t>无变化</t>
  </si>
  <si>
    <t>不涉及</t>
  </si>
  <si>
    <t>无数据时页面不报错</t>
  </si>
  <si>
    <t>可提供新增入口</t>
  </si>
  <si>
    <t>保存失败</t>
  </si>
  <si>
    <t>用户点击保存后接口返回失败</t>
  </si>
  <si>
    <t>保留用户已输入内容</t>
  </si>
  <si>
    <t>保存失败，请稍后重试</t>
  </si>
  <si>
    <t>不写入新数据</t>
  </si>
  <si>
    <t>可重试</t>
  </si>
  <si>
    <t>用户</t>
  </si>
  <si>
    <t>保存失败后输入内容不丢失</t>
  </si>
  <si>
    <t>不关闭弹窗</t>
  </si>
  <si>
    <t>重复提交</t>
  </si>
  <si>
    <t>用户连续点击提交</t>
  </si>
  <si>
    <t>第二次点击被禁用或拦截</t>
  </si>
  <si>
    <t>正在提交，请勿重复操作</t>
  </si>
  <si>
    <t>只生成一条记录</t>
  </si>
  <si>
    <t>系统</t>
  </si>
  <si>
    <t>不产生重复数据</t>
  </si>
  <si>
    <t>可通过 loading 防重复</t>
  </si>
  <si>
    <t>无权限用户访问编辑入口</t>
  </si>
  <si>
    <t>不展示入口，或点击后提示无权限</t>
  </si>
  <si>
    <t>暂无操作权限</t>
  </si>
  <si>
    <t>不可重试</t>
  </si>
  <si>
    <t>管理员配置权限</t>
  </si>
  <si>
    <t>无权限用户不能绕过入口操作</t>
  </si>
  <si>
    <t>B 端高频必写</t>
  </si>
  <si>
    <t>异常时提示错误</t>
  </si>
  <si>
    <t>没写什么异常、什么提示、数据是否保留</t>
  </si>
  <si>
    <t>无权限不可操作</t>
  </si>
  <si>
    <t>没写入口是否展示，绕过入口访问怎么办</t>
  </si>
  <si>
    <t>保存失败可重试</t>
  </si>
  <si>
    <t>没写失败后数据是否保留</t>
  </si>
  <si>
    <t>G. 验收标准表模板</t>
  </si>
  <si>
    <t>用于描述需求完成判断、测试验收、业务验收、上线验收。</t>
  </si>
  <si>
    <t>验收标准必须可观察、可测试、可判断，不能写“功能正常即可”。</t>
  </si>
  <si>
    <t>验收编号</t>
  </si>
  <si>
    <t>验收对象</t>
  </si>
  <si>
    <t>前置条件</t>
  </si>
  <si>
    <t>操作/场景</t>
  </si>
  <si>
    <t>期望结果</t>
  </si>
  <si>
    <t>验收方式</t>
  </si>
  <si>
    <t>A001</t>
  </si>
  <si>
    <t>新增模板</t>
  </si>
  <si>
    <t>用户具备模板管理权限</t>
  </si>
  <si>
    <t>填写必填字段后点击保存</t>
  </si>
  <si>
    <t>模板保存成功，列表新增一条记录</t>
  </si>
  <si>
    <t>功能测试</t>
  </si>
  <si>
    <t>保存成功，字段完整，状态正确</t>
  </si>
  <si>
    <t>同步校验更新时间</t>
  </si>
  <si>
    <t>A002</t>
  </si>
  <si>
    <t>已存在同名模板</t>
  </si>
  <si>
    <t>再次新增同名模板并保存</t>
  </si>
  <si>
    <t>系统阻断保存并提示重复</t>
  </si>
  <si>
    <t>按同业务模块查重</t>
  </si>
  <si>
    <t>A003</t>
  </si>
  <si>
    <t>权限控制</t>
  </si>
  <si>
    <t>普通用户无编辑权限</t>
  </si>
  <si>
    <t>普通用户进入模板列表</t>
  </si>
  <si>
    <t>不展示编辑按钮</t>
  </si>
  <si>
    <t>权限测试</t>
  </si>
  <si>
    <t>无权限用户不可编辑</t>
  </si>
  <si>
    <t>需覆盖接口权限</t>
  </si>
  <si>
    <t>A004</t>
  </si>
  <si>
    <t>空态展示</t>
  </si>
  <si>
    <t>当前无模板数据</t>
  </si>
  <si>
    <t>进入模板列表页</t>
  </si>
  <si>
    <t>展示空态提示</t>
  </si>
  <si>
    <t>页面无报错，空态文案正确</t>
  </si>
  <si>
    <t>H. 自测用例表模板</t>
  </si>
  <si>
    <t>用于研发交付前自测、PM 冒烟检查、AI 实现结果自查。</t>
  </si>
  <si>
    <t>用于定义最小可跑路径：主流程能否跑通、关键异常能否拦住、权限边界是否穿透、数据结果是否符合口径。</t>
  </si>
  <si>
    <t>验收标准表定义“做到什么算完成”；自测用例表定义“交付前怎么跑一遍确认没偏”。</t>
  </si>
  <si>
    <t>用例编号</t>
  </si>
  <si>
    <t>用例类型</t>
  </si>
  <si>
    <t>操作步骤</t>
  </si>
  <si>
    <t>测试数据</t>
  </si>
  <si>
    <t>预期结果</t>
  </si>
  <si>
    <t>覆盖规则/异常</t>
  </si>
  <si>
    <t>是否通过</t>
  </si>
  <si>
    <t>TC001</t>
  </si>
  <si>
    <t>用户有新增权限</t>
  </si>
  <si>
    <t>进入列表 &gt; 点击新增 &gt; 填写字段 &gt; 保存</t>
  </si>
  <si>
    <t>模板名称：审批提醒模板</t>
  </si>
  <si>
    <t>保存成功，列表展示新增数据</t>
  </si>
  <si>
    <t>R001 / A001</t>
  </si>
  <si>
    <t>待填写</t>
  </si>
  <si>
    <t>冒烟必跑</t>
  </si>
  <si>
    <t>TC002</t>
  </si>
  <si>
    <t>校验用例</t>
  </si>
  <si>
    <t>点击新增 &gt; 不填模板名称 &gt; 保存</t>
  </si>
  <si>
    <t>阻断保存，提示请输入模板名称</t>
  </si>
  <si>
    <t>TC003</t>
  </si>
  <si>
    <t>重复用例</t>
  </si>
  <si>
    <t>新增同名模板并保存</t>
  </si>
  <si>
    <t>阻断保存，提示名称重复</t>
  </si>
  <si>
    <t>TC004</t>
  </si>
  <si>
    <t>权限用例</t>
  </si>
  <si>
    <t>普通用户登录</t>
  </si>
  <si>
    <t>进入模板列表</t>
  </si>
  <si>
    <t>普通用户账号</t>
  </si>
  <si>
    <t>不展示新增、编辑、删除按钮</t>
  </si>
  <si>
    <t>权限规则</t>
  </si>
  <si>
    <t>I. 风险接受表模板</t>
  </si>
  <si>
    <t>用于记录 P1 风险被暂时接受、待确认项不阻塞、历史数据暂不处理、异常场景延期。</t>
  </si>
  <si>
    <t>风险接受不是把问题藏起来，而是写清：谁接受，为什么接受，影响谁，什么时候补，不补会怎样。</t>
  </si>
  <si>
    <t>P1 默认阻塞，除非 PM 明确接受风险并记录原因。</t>
  </si>
  <si>
    <t>风险编号</t>
  </si>
  <si>
    <t>风险类型</t>
  </si>
  <si>
    <t>未解决问题</t>
  </si>
  <si>
    <t>影响范围</t>
  </si>
  <si>
    <t>接受原因</t>
  </si>
  <si>
    <t>接受人/责任人</t>
  </si>
  <si>
    <t>后续处理</t>
  </si>
  <si>
    <t>截止时间</t>
  </si>
  <si>
    <t>记录日期</t>
  </si>
  <si>
    <t>RA001</t>
  </si>
  <si>
    <t>数据口径</t>
  </si>
  <si>
    <t>异常关闭率暂未区分不同异常来源</t>
  </si>
  <si>
    <t>看板统计结果可能与人工统计存在差异</t>
  </si>
  <si>
    <t>本期先满足单一口径统计，来源拆分进入后续版本</t>
  </si>
  <si>
    <t>产品负责人</t>
  </si>
  <si>
    <t>下版本补充来源维度</t>
  </si>
  <si>
    <t>2026-07-31</t>
  </si>
  <si>
    <t>2026-06-25</t>
  </si>
  <si>
    <t>RA002</t>
  </si>
  <si>
    <t>存量模板不做迁移</t>
  </si>
  <si>
    <t>老模板无法展示新增字段</t>
  </si>
  <si>
    <t>存量模板数量少，可由管理员手动维护</t>
  </si>
  <si>
    <t>业务负责人</t>
  </si>
  <si>
    <t>上线前人工补齐</t>
  </si>
  <si>
    <t>2026-07-05</t>
  </si>
  <si>
    <t>RA003</t>
  </si>
  <si>
    <t>接口超时自动重试本期不做</t>
  </si>
  <si>
    <t>网络异常时用户需要手动重试</t>
  </si>
  <si>
    <t>本期优先保证主流程上线</t>
  </si>
  <si>
    <t>PM</t>
  </si>
  <si>
    <t>后续补自动重试机制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</si>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</sst>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42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134E4A"/>
      <name val="Carlito"/>
      <charset val="134"/>
    </font>
    <font>
      <b/>
      <sz val="11"/>
      <color rgb="FFFFFFFF"/>
      <name val="Carlito"/>
      <charset val="134"/>
    </font>
    <font>
      <b/>
      <sz val="13"/>
      <color rgb="FFFFFFFF"/>
      <name val="Carlito"/>
      <charset val="134"/>
    </font>
    <font>
      <b/>
      <sz val="11"/>
      <color rgb="FF1E3A8A"/>
      <name val="Carlito"/>
      <charset val="134"/>
    </font>
    <font>
      <sz val="11"/>
      <color rgb="FF334155"/>
      <name val="Carlito"/>
      <charset val="134"/>
    </font>
    <font>
      <b/>
      <sz val="11"/>
      <color rgb="FF0F172A"/>
      <name val="Carlito"/>
      <charset val="134"/>
    </font>
    <font>
      <b/>
      <sz val="11"/>
      <color rgb="FF14532D"/>
      <name val="Carlito"/>
      <charset val="134"/>
    </font>
    <font>
      <b/>
      <sz val="11"/>
      <color rgb="FF991B1B"/>
      <name val="Carlito"/>
      <charset val="134"/>
    </font>
    <font>
      <b/>
      <sz val="11"/>
      <color rgb="FF92400E"/>
      <name val="Carlito"/>
      <charset val="134"/>
    </font>
    <font>
      <sz val="10"/>
      <name val="Microsoft YaHei"/>
      <charset val="134"/>
    </font>
    <font>
      <b/>
      <sz val="11"/>
      <color rgb="FF581C87"/>
      <name val="Carlito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Carlito"/>
      <charset val="134"/>
    </font>
    <font>
      <sz val="11"/>
      <color rgb="FF1D4ED8"/>
      <name val="Carlito"/>
      <charset val="134"/>
    </font>
    <font>
      <b/>
      <sz val="16"/>
      <color rgb="FFFFFFFF"/>
      <name val="Microsoft YaHei"/>
      <charset val="134"/>
    </font>
    <font>
      <i/>
      <sz val="11"/>
      <color rgb="FF0F172A"/>
      <name val="Microsoft YaHei"/>
      <charset val="134"/>
    </font>
    <font>
      <sz val="11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1D4ED8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F6F8B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EAF4F7"/>
        <bgColor indexed="64"/>
      </patternFill>
    </fill>
    <fill>
      <patternFill patternType="solid">
        <fgColor rgb="FF153B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9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0" borderId="4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2" fillId="21" borderId="4" applyNumberFormat="0" applyAlignment="0" applyProtection="0">
      <alignment vertical="center"/>
    </xf>
    <xf numFmtId="0" fontId="33" fillId="22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49"/>
    <xf numFmtId="0" fontId="0" fillId="0" borderId="0" xfId="49" applyAlignment="1">
      <alignment horizontal="left" vertical="center"/>
    </xf>
    <xf numFmtId="0" fontId="1" fillId="2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left" vertical="center" wrapText="1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left" vertical="center" wrapText="1"/>
    </xf>
    <xf numFmtId="0" fontId="0" fillId="5" borderId="0" xfId="49" applyNumberFormat="1" applyFont="1" applyFill="1" applyBorder="1" applyAlignment="1">
      <alignment horizontal="left" vertical="center" wrapText="1"/>
    </xf>
    <xf numFmtId="0" fontId="4" fillId="6" borderId="0" xfId="49" applyNumberFormat="1" applyFont="1" applyFill="1" applyBorder="1" applyAlignment="1">
      <alignment horizontal="left" vertical="center" wrapText="1"/>
    </xf>
    <xf numFmtId="0" fontId="5" fillId="7" borderId="0" xfId="49" applyNumberFormat="1" applyFont="1" applyFill="1" applyBorder="1" applyAlignment="1">
      <alignment horizontal="left" vertical="center" wrapText="1"/>
    </xf>
    <xf numFmtId="0" fontId="6" fillId="8" borderId="0" xfId="49" applyNumberFormat="1" applyFont="1" applyFill="1" applyBorder="1" applyAlignment="1">
      <alignment horizontal="left" vertical="center" wrapText="1"/>
    </xf>
    <xf numFmtId="0" fontId="7" fillId="9" borderId="0" xfId="49" applyNumberFormat="1" applyFont="1" applyFill="1" applyBorder="1" applyAlignment="1">
      <alignment horizontal="left" vertical="center" wrapText="1"/>
    </xf>
    <xf numFmtId="0" fontId="8" fillId="10" borderId="0" xfId="49" applyNumberFormat="1" applyFont="1" applyFill="1" applyBorder="1" applyAlignment="1">
      <alignment horizontal="left" vertical="center" wrapText="1"/>
    </xf>
    <xf numFmtId="0" fontId="3" fillId="11" borderId="0" xfId="49" applyNumberFormat="1" applyFont="1" applyFill="1" applyBorder="1" applyAlignment="1">
      <alignment horizontal="left" vertical="center" wrapText="1"/>
    </xf>
    <xf numFmtId="0" fontId="9" fillId="12" borderId="0" xfId="49" applyNumberFormat="1" applyFont="1" applyFill="1" applyBorder="1" applyAlignment="1">
      <alignment horizontal="left" vertical="center" wrapText="1"/>
    </xf>
    <xf numFmtId="0" fontId="3" fillId="13" borderId="0" xfId="49" applyNumberFormat="1" applyFont="1" applyFill="1" applyBorder="1" applyAlignment="1">
      <alignment horizontal="left" vertical="center" wrapText="1"/>
    </xf>
    <xf numFmtId="0" fontId="10" fillId="14" borderId="0" xfId="49" applyNumberFormat="1" applyFont="1" applyFill="1" applyBorder="1" applyAlignment="1">
      <alignment horizontal="left" vertical="center" wrapText="1"/>
    </xf>
    <xf numFmtId="0" fontId="3" fillId="15" borderId="0" xfId="49" applyNumberFormat="1" applyFont="1" applyFill="1" applyBorder="1" applyAlignment="1">
      <alignment horizontal="left" vertical="center"/>
    </xf>
    <xf numFmtId="0" fontId="11" fillId="0" borderId="0" xfId="49" applyNumberFormat="1" applyFont="1" applyFill="1" applyBorder="1" applyAlignment="1">
      <alignment horizontal="left" vertical="center" wrapText="1"/>
    </xf>
    <xf numFmtId="0" fontId="12" fillId="16" borderId="0" xfId="49" applyNumberFormat="1" applyFont="1" applyFill="1" applyBorder="1" applyAlignment="1">
      <alignment horizontal="left" vertical="center" wrapText="1"/>
    </xf>
    <xf numFmtId="0" fontId="13" fillId="15" borderId="0" xfId="49" applyNumberFormat="1" applyFont="1" applyFill="1" applyBorder="1" applyAlignment="1">
      <alignment horizontal="left" vertical="center"/>
    </xf>
    <xf numFmtId="0" fontId="14" fillId="17" borderId="0" xfId="49" applyNumberFormat="1" applyFont="1" applyFill="1" applyBorder="1" applyAlignment="1">
      <alignment horizontal="left" vertical="center"/>
    </xf>
    <xf numFmtId="0" fontId="13" fillId="15" borderId="0" xfId="49" applyNumberFormat="1" applyFont="1" applyFill="1" applyBorder="1" applyAlignment="1">
      <alignment horizontal="center"/>
    </xf>
    <xf numFmtId="0" fontId="11" fillId="0" borderId="0" xfId="49" applyNumberFormat="1" applyFont="1" applyFill="1" applyBorder="1"/>
    <xf numFmtId="0" fontId="11" fillId="8" borderId="0" xfId="49" applyNumberFormat="1" applyFont="1" applyFill="1" applyBorder="1" applyAlignment="1">
      <alignment wrapText="1"/>
    </xf>
    <xf numFmtId="0" fontId="0" fillId="8" borderId="0" xfId="49" applyNumberFormat="1" applyFont="1" applyFill="1" applyBorder="1" applyAlignment="1">
      <alignment wrapText="1"/>
    </xf>
    <xf numFmtId="0" fontId="3" fillId="15" borderId="0" xfId="49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left" vertical="center" wrapText="1"/>
    </xf>
    <xf numFmtId="0" fontId="15" fillId="0" borderId="0" xfId="49" applyNumberFormat="1" applyFont="1" applyFill="1" applyBorder="1" applyAlignment="1">
      <alignment horizontal="left" vertical="center" wrapText="1"/>
    </xf>
    <xf numFmtId="0" fontId="16" fillId="0" borderId="0" xfId="49" applyNumberFormat="1" applyFont="1" applyFill="1" applyBorder="1" applyAlignment="1">
      <alignment horizontal="left" vertical="center" wrapText="1"/>
    </xf>
    <xf numFmtId="0" fontId="17" fillId="18" borderId="0" xfId="49" applyNumberFormat="1" applyFont="1" applyFill="1" applyBorder="1" applyAlignment="1">
      <alignment horizontal="center" vertical="center"/>
    </xf>
    <xf numFmtId="0" fontId="18" fillId="17" borderId="0" xfId="49" applyNumberFormat="1" applyFont="1" applyFill="1" applyBorder="1" applyAlignment="1">
      <alignment wrapText="1"/>
    </xf>
    <xf numFmtId="0" fontId="19" fillId="0" borderId="0" xfId="49" applyNumberFormat="1" applyFont="1" applyFill="1" applyBorder="1"/>
    <xf numFmtId="0" fontId="20" fillId="15" borderId="0" xfId="49" applyNumberFormat="1" applyFont="1" applyFill="1" applyBorder="1" applyAlignment="1">
      <alignment horizontal="left" vertical="center" wrapText="1"/>
    </xf>
    <xf numFmtId="0" fontId="19" fillId="0" borderId="0" xfId="49" applyNumberFormat="1" applyFont="1" applyFill="1" applyBorder="1" applyAlignment="1">
      <alignment horizontal="left" vertical="center"/>
    </xf>
    <xf numFmtId="0" fontId="19" fillId="0" borderId="0" xfId="49" applyNumberFormat="1" applyFont="1" applyFill="1" applyBorder="1" applyAlignment="1">
      <alignment horizontal="left" vertical="center" wrapText="1"/>
    </xf>
    <xf numFmtId="176" fontId="19" fillId="0" borderId="0" xfId="49" applyNumberFormat="1" applyFont="1" applyFill="1" applyBorder="1" applyAlignment="1">
      <alignment horizontal="left" vertical="center" wrapText="1"/>
    </xf>
    <xf numFmtId="0" fontId="3" fillId="2" borderId="0" xfId="49" applyNumberFormat="1" applyFont="1" applyFill="1" applyAlignment="1">
      <alignment horizontal="left"/>
    </xf>
    <xf numFmtId="0" fontId="0" fillId="0" borderId="0" xfId="49" applyNumberFormat="1" applyFont="1" applyFill="1"/>
    <xf numFmtId="0" fontId="3" fillId="4" borderId="0" xfId="49" applyNumberFormat="1" applyFont="1" applyFill="1" applyAlignment="1">
      <alignment horizontal="center" vertical="center" wrapText="1"/>
    </xf>
    <xf numFmtId="0" fontId="0" fillId="5" borderId="0" xfId="49" applyNumberFormat="1" applyFont="1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5">
    <dxf>
      <font>
        <b val="1"/>
        <color rgb="FFFFFFFF"/>
      </font>
      <fill>
        <patternFill patternType="solid">
          <bgColor rgb="FFDC2626"/>
        </patternFill>
      </fill>
    </dxf>
    <dxf>
      <font>
        <b val="1"/>
        <color rgb="FFFFFFFF"/>
      </font>
      <fill>
        <patternFill patternType="solid">
          <bgColor rgb="FFF9731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A3412"/>
      </font>
      <fill>
        <patternFill patternType="solid">
          <bgColor rgb="FFFFEDD5"/>
        </patternFill>
      </fill>
    </dxf>
    <dxf>
      <font>
        <b val="1"/>
        <color rgb="FF075985"/>
      </font>
      <fill>
        <patternFill patternType="solid">
          <bgColor rgb="FFE0F2FE"/>
        </patternFill>
      </fill>
    </dxf>
    <dxf>
      <font>
        <b val="1"/>
        <color rgb="FF854D0E"/>
      </font>
      <fill>
        <patternFill patternType="solid">
          <bgColor rgb="FFFEF9C3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PivotStylePreset2_Accent1" table="0" count="10" xr9:uid="{267968C8-6FFD-4C36-ACC1-9EA1FD1885CA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DChecklistTable" displayName="PRDChecklistTable" ref="A1:U67">
  <tableColumns count="21">
    <tableColumn id="1" name="序号" dataDxfId="7"/>
    <tableColumn id="2" name="检查层级" dataDxfId="8"/>
    <tableColumn id="3" name="一级检查域" dataDxfId="9"/>
    <tableColumn id="4" name="二级模块" dataDxfId="10"/>
    <tableColumn id="5" name="检查项" dataDxfId="11"/>
    <tableColumn id="6" name="适用条件" dataDxfId="12"/>
    <tableColumn id="7" name="自查问题" dataDxfId="13"/>
    <tableColumn id="8" name="合格标准" dataDxfId="14"/>
    <tableColumn id="9" name="不通过信号" dataDxfId="15"/>
    <tableColumn id="10" name="建议补充位置" dataDxfId="16"/>
    <tableColumn id="11" name="建议呈现方式" dataDxfId="17"/>
    <tableColumn id="12" name="默认优先级" dataDxfId="18"/>
    <tableColumn id="13" name="复杂度适配" dataDxfId="19"/>
    <tableColumn id="14" name="是否适用" dataDxfId="20"/>
    <tableColumn id="15" name="是否已写" dataDxfId="21"/>
    <tableColumn id="16" name="是否已检查" dataDxfId="22"/>
    <tableColumn id="17" name="实际问题等级" dataDxfId="23"/>
    <tableColumn id="18" name="门禁状态" dataDxfId="24"/>
    <tableColumn id="19" name="修正动作" dataDxfId="25"/>
    <tableColumn id="20" name="PRD证据位置" dataDxfId="26"/>
    <tableColumn id="21" name="备注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StandardTable" displayName="BlockingStandardTable" ref="A1:E5">
  <tableColumns count="5">
    <tableColumn id="1" name="问题等级" dataDxfId="28"/>
    <tableColumn id="2" name="含义" dataDxfId="29"/>
    <tableColumn id="3" name="典型问题" dataDxfId="30"/>
    <tableColumn id="4" name="门禁行为" dataDxfId="31"/>
    <tableColumn id="5" name="处理规则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lexityFitTable" displayName="ComplexityFitTable" ref="A1:E5">
  <tableColumns count="5">
    <tableColumn id="1" name="复杂度" dataDxfId="33"/>
    <tableColumn id="2" name="需求类型" dataDxfId="34"/>
    <tableColumn id="3" name="PRD最低要求" dataDxfId="35"/>
    <tableColumn id="4" name="重点检查" dataDxfId="36"/>
    <tableColumn id="5" name="典型适用场景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mplateIndexTable" displayName="TemplateIndexTable" ref="A4:F12">
  <tableColumns count="6">
    <tableColumn id="1" name="模板名称"/>
    <tableColumn id="2" name="适用场景"/>
    <tableColumn id="3" name="解决的问题"/>
    <tableColumn id="4" name="对应检查域"/>
    <tableColumn id="5" name="常见 PRD 章节"/>
    <tableColumn id="6" name="模板入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topLeftCell="A2" workbookViewId="0">
      <selection activeCell="C20" sqref="C20"/>
    </sheetView>
  </sheetViews>
  <sheetFormatPr defaultColWidth="9" defaultRowHeight="15"/>
  <cols>
    <col min="1" max="1" width="16" customWidth="1"/>
    <col min="2" max="2" width="12" customWidth="1"/>
    <col min="3" max="3" width="54" customWidth="1"/>
    <col min="4" max="4" width="16" customWidth="1"/>
    <col min="5" max="5" width="12" customWidth="1"/>
    <col min="6" max="6" width="18" customWidth="1"/>
    <col min="7" max="7" width="20" customWidth="1"/>
    <col min="8" max="8" width="18" customWidth="1"/>
    <col min="9" max="9" width="30" customWidth="1"/>
  </cols>
  <sheetData>
    <row r="1" ht="34" customHeight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ht="30" customHeight="1" spans="1:9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ht="16.5" spans="1:9">
      <c r="A3" s="31"/>
      <c r="B3" s="31"/>
      <c r="C3" s="31"/>
      <c r="D3" s="31"/>
      <c r="E3" s="31"/>
      <c r="F3" s="31"/>
      <c r="G3" s="31"/>
      <c r="H3" s="31"/>
      <c r="I3" s="31"/>
    </row>
    <row r="4" ht="28" customHeight="1" spans="1:9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3"/>
      <c r="G4" s="32" t="s">
        <v>7</v>
      </c>
      <c r="H4" s="32" t="s">
        <v>8</v>
      </c>
      <c r="I4" s="32" t="s">
        <v>9</v>
      </c>
    </row>
    <row r="5" ht="28" customHeight="1" spans="1:9">
      <c r="A5" s="34" t="s">
        <v>10</v>
      </c>
      <c r="B5" s="34">
        <f>COUNTA('01_需求自查清单'!$A$2:$A$200)</f>
        <v>66</v>
      </c>
      <c r="C5" s="34" t="s">
        <v>11</v>
      </c>
      <c r="D5" s="34" t="s">
        <v>12</v>
      </c>
      <c r="E5" s="34">
        <f>COUNTIF('01_需求自查清单'!$R$2:$R$200,D5)</f>
        <v>0</v>
      </c>
      <c r="F5" s="33"/>
      <c r="G5" s="34" t="s">
        <v>13</v>
      </c>
      <c r="H5" s="34">
        <f>COUNTIFS('01_需求自查清单'!$L$2:$L$200,G5,'01_需求自查清单'!$N$2:$N$200,"是")</f>
        <v>22</v>
      </c>
      <c r="I5" s="34">
        <f>COUNTIFS('01_需求自查清单'!$L$2:$L$200,G5,'01_需求自查清单'!$N$2:$N$200,"是",'01_需求自查清单'!$R$2:$R$200,"&lt;&gt;通过")</f>
        <v>22</v>
      </c>
    </row>
    <row r="6" ht="28" customHeight="1" spans="1:9">
      <c r="A6" s="34" t="s">
        <v>14</v>
      </c>
      <c r="B6" s="34">
        <f>COUNTIF('01_需求自查清单'!$N$2:$N$200,"是")</f>
        <v>66</v>
      </c>
      <c r="C6" s="34" t="s">
        <v>15</v>
      </c>
      <c r="D6" s="34" t="s">
        <v>16</v>
      </c>
      <c r="E6" s="34">
        <f>COUNTIF('01_需求自查清单'!$R$2:$R$200,D6)</f>
        <v>0</v>
      </c>
      <c r="F6" s="33"/>
      <c r="G6" s="34" t="s">
        <v>17</v>
      </c>
      <c r="H6" s="34">
        <f>COUNTIFS('01_需求自查清单'!$L$2:$L$200,G6,'01_需求自查清单'!$N$2:$N$200,"是")</f>
        <v>31</v>
      </c>
      <c r="I6" s="34">
        <f>COUNTIFS('01_需求自查清单'!$L$2:$L$200,G6,'01_需求自查清单'!$N$2:$N$200,"是",'01_需求自查清单'!$R$2:$R$200,"&lt;&gt;通过")</f>
        <v>31</v>
      </c>
    </row>
    <row r="7" ht="28" customHeight="1" spans="1:9">
      <c r="A7" s="34" t="s">
        <v>18</v>
      </c>
      <c r="B7" s="34">
        <f>COUNTIF('01_需求自查清单'!$R$2:$R$200,"通过")</f>
        <v>0</v>
      </c>
      <c r="C7" s="34" t="s">
        <v>19</v>
      </c>
      <c r="D7" s="34" t="s">
        <v>20</v>
      </c>
      <c r="E7" s="34">
        <f>COUNTIF('01_需求自查清单'!$R$2:$R$200,D7)</f>
        <v>0</v>
      </c>
      <c r="F7" s="33"/>
      <c r="G7" s="34" t="s">
        <v>21</v>
      </c>
      <c r="H7" s="34">
        <f>COUNTIFS('01_需求自查清单'!$L$2:$L$200,G7,'01_需求自查清单'!$N$2:$N$200,"是")</f>
        <v>10</v>
      </c>
      <c r="I7" s="34">
        <f>COUNTIFS('01_需求自查清单'!$L$2:$L$200,G7,'01_需求自查清单'!$N$2:$N$200,"是",'01_需求自查清单'!$R$2:$R$200,"&lt;&gt;通过")</f>
        <v>10</v>
      </c>
    </row>
    <row r="8" ht="28" customHeight="1" spans="1:9">
      <c r="A8" s="34" t="s">
        <v>22</v>
      </c>
      <c r="B8" s="34">
        <f>COUNTIF('01_需求自查清单'!$R$2:$R$200,"P0阻塞")+COUNTIF('01_需求自查清单'!$Q$2:$Q$200,"P0")</f>
        <v>0</v>
      </c>
      <c r="C8" s="34" t="s">
        <v>23</v>
      </c>
      <c r="D8" s="34" t="s">
        <v>24</v>
      </c>
      <c r="E8" s="34">
        <f>COUNTIF('01_需求自查清单'!$R$2:$R$200,D8)</f>
        <v>0</v>
      </c>
      <c r="F8" s="33"/>
      <c r="G8" s="34" t="s">
        <v>25</v>
      </c>
      <c r="H8" s="34">
        <f>COUNTIFS('01_需求自查清单'!$L$2:$L$200,G8,'01_需求自查清单'!$N$2:$N$200,"是")</f>
        <v>3</v>
      </c>
      <c r="I8" s="34">
        <f>COUNTIFS('01_需求自查清单'!$L$2:$L$200,G8,'01_需求自查清单'!$N$2:$N$200,"是",'01_需求自查清单'!$R$2:$R$200,"&lt;&gt;通过")</f>
        <v>3</v>
      </c>
    </row>
    <row r="9" ht="28" customHeight="1" spans="1:9">
      <c r="A9" s="34" t="s">
        <v>26</v>
      </c>
      <c r="B9" s="34">
        <f>COUNTIF('01_需求自查清单'!$R$2:$R$200,"P1风险")+COUNTIF('01_需求自查清单'!$Q$2:$Q$200,"P1")</f>
        <v>0</v>
      </c>
      <c r="C9" s="34" t="s">
        <v>27</v>
      </c>
      <c r="D9" s="34" t="s">
        <v>28</v>
      </c>
      <c r="E9" s="34">
        <f>COUNTIF('01_需求自查清单'!$R$2:$R$200,D9)</f>
        <v>0</v>
      </c>
      <c r="F9" s="33"/>
      <c r="G9" s="33"/>
      <c r="H9" s="33"/>
      <c r="I9" s="33"/>
    </row>
    <row r="10" ht="28" customHeight="1" spans="1:9">
      <c r="A10" s="34" t="s">
        <v>29</v>
      </c>
      <c r="B10" s="34">
        <f>COUNTIF('01_需求自查清单'!$R$2:$R$200,"待检查")</f>
        <v>66</v>
      </c>
      <c r="C10" s="34" t="s">
        <v>30</v>
      </c>
      <c r="D10" s="34" t="s">
        <v>31</v>
      </c>
      <c r="E10" s="34">
        <f>COUNTIF('01_需求自查清单'!$R$2:$R$200,D10)</f>
        <v>66</v>
      </c>
      <c r="F10" s="33"/>
      <c r="G10" s="33"/>
      <c r="H10" s="33"/>
      <c r="I10" s="33"/>
    </row>
    <row r="11" ht="28" customHeight="1" spans="1:9">
      <c r="A11" s="34" t="s">
        <v>32</v>
      </c>
      <c r="B11" s="34">
        <f>COUNTIF('01_需求自查清单'!$R$2:$R$200,"待补充")</f>
        <v>0</v>
      </c>
      <c r="C11" s="34" t="s">
        <v>33</v>
      </c>
      <c r="D11" s="34" t="s">
        <v>34</v>
      </c>
      <c r="E11" s="34">
        <f>COUNTIF('01_需求自查清单'!$R$2:$R$200,D11)</f>
        <v>0</v>
      </c>
      <c r="F11" s="33"/>
      <c r="G11" s="33"/>
      <c r="H11" s="33"/>
      <c r="I11" s="33"/>
    </row>
    <row r="12" ht="28" customHeight="1" spans="1:9">
      <c r="A12" s="34" t="s">
        <v>35</v>
      </c>
      <c r="B12" s="35">
        <f>IF(B6=0,0,B7/B6)</f>
        <v>0</v>
      </c>
      <c r="C12" s="34" t="s">
        <v>36</v>
      </c>
      <c r="D12" s="33"/>
      <c r="E12" s="33"/>
      <c r="F12" s="33"/>
      <c r="G12" s="33"/>
      <c r="H12" s="33"/>
      <c r="I12" s="33"/>
    </row>
    <row r="13" ht="28" customHeight="1" spans="1:9">
      <c r="A13" s="34" t="s">
        <v>37</v>
      </c>
      <c r="B13" s="35">
        <f>IF(COUNTIFS('01_需求自查清单'!$B$2:$B$200,"必查门禁",'01_需求自查清单'!$N$2:$N$200,"是")=0,0,COUNTIFS('01_需求自查清单'!$B$2:$B$200,"必查门禁",'01_需求自查清单'!$N$2:$N$200,"是",'01_需求自查清单'!$R$2:$R$200,"通过")/COUNTIFS('01_需求自查清单'!$B$2:$B$200,"必查门禁",'01_需求自查清单'!$N$2:$N$200,"是"))</f>
        <v>0</v>
      </c>
      <c r="C13" s="34" t="s">
        <v>38</v>
      </c>
      <c r="D13" s="33"/>
      <c r="E13" s="33"/>
      <c r="F13" s="32" t="s">
        <v>39</v>
      </c>
      <c r="G13" s="32" t="s">
        <v>40</v>
      </c>
      <c r="H13" s="32" t="s">
        <v>41</v>
      </c>
      <c r="I13" s="32"/>
    </row>
    <row r="14" ht="28" customHeight="1" spans="1:9">
      <c r="A14" s="34" t="s">
        <v>42</v>
      </c>
      <c r="B14" s="34" t="str">
        <f>IF(B8&gt;0,"不可进入评审：存在 P0 阻塞",IF(B9&gt;0,"默认不建议进入评审：存在 P1 风险，需修正或记录风险接受",IF(B10&gt;0,"待检查：尚有 "&amp;B10&amp;" 项未完成检查",IF(B11&gt;0,"待补充：尚有 "&amp;B11&amp;" 项需要补充","可进入评审"))))</f>
        <v>待检查：尚有 66 项未完成检查</v>
      </c>
      <c r="C14" s="34" t="s">
        <v>43</v>
      </c>
      <c r="D14" s="33"/>
      <c r="E14" s="33"/>
      <c r="F14" s="34" t="s">
        <v>44</v>
      </c>
      <c r="G14" s="34" t="s">
        <v>45</v>
      </c>
      <c r="H14" s="34" t="s">
        <v>46</v>
      </c>
      <c r="I14" s="34"/>
    </row>
    <row r="15" ht="28" customHeight="1" spans="1:9">
      <c r="A15" s="33"/>
      <c r="B15" s="33"/>
      <c r="C15" s="33"/>
      <c r="D15" s="33"/>
      <c r="E15" s="33"/>
      <c r="F15" s="34" t="s">
        <v>47</v>
      </c>
      <c r="G15" s="34" t="s">
        <v>48</v>
      </c>
      <c r="H15" s="34" t="s">
        <v>49</v>
      </c>
      <c r="I15" s="34"/>
    </row>
    <row r="16" ht="28" customHeight="1" spans="1:9">
      <c r="A16" s="33"/>
      <c r="B16" s="33"/>
      <c r="C16" s="33"/>
      <c r="D16" s="33"/>
      <c r="E16" s="33"/>
      <c r="F16" s="34" t="s">
        <v>50</v>
      </c>
      <c r="G16" s="34" t="s">
        <v>51</v>
      </c>
      <c r="H16" s="34" t="s">
        <v>52</v>
      </c>
      <c r="I16" s="34"/>
    </row>
    <row r="17" ht="28" customHeight="1" spans="1:9">
      <c r="A17" s="32" t="s">
        <v>53</v>
      </c>
      <c r="B17" s="32" t="s">
        <v>8</v>
      </c>
      <c r="C17" s="32" t="s">
        <v>54</v>
      </c>
      <c r="D17" s="32" t="s">
        <v>55</v>
      </c>
      <c r="E17" s="33"/>
      <c r="F17" s="34" t="s">
        <v>56</v>
      </c>
      <c r="G17" s="34" t="s">
        <v>57</v>
      </c>
      <c r="H17" s="34" t="s">
        <v>58</v>
      </c>
      <c r="I17" s="34"/>
    </row>
    <row r="18" ht="28" customHeight="1" spans="1:9">
      <c r="A18" s="34" t="s">
        <v>59</v>
      </c>
      <c r="B18" s="34">
        <f>COUNTIFS('01_需求自查清单'!$B$2:$B$200,A18,'01_需求自查清单'!$N$2:$N$200,"是")</f>
        <v>21</v>
      </c>
      <c r="C18" s="34">
        <f>COUNTIFS('01_需求自查清单'!$B$2:$B$200,A18,'01_需求自查清单'!$N$2:$N$200,"是",'01_需求自查清单'!$R$2:$R$200,"通过")</f>
        <v>0</v>
      </c>
      <c r="D18" s="35">
        <f>IF(B18=0,0,C18/B18)</f>
        <v>0</v>
      </c>
      <c r="E18" s="33"/>
      <c r="F18" s="33"/>
      <c r="G18" s="33"/>
      <c r="H18" s="33"/>
      <c r="I18" s="33"/>
    </row>
    <row r="19" ht="28" customHeight="1" spans="1:9">
      <c r="A19" s="34" t="s">
        <v>60</v>
      </c>
      <c r="B19" s="34">
        <f>COUNTIFS('01_需求自查清单'!$B$2:$B$200,A19,'01_需求自查清单'!$N$2:$N$200,"是")</f>
        <v>39</v>
      </c>
      <c r="C19" s="34">
        <f>COUNTIFS('01_需求自查清单'!$B$2:$B$200,A19,'01_需求自查清单'!$N$2:$N$200,"是",'01_需求自查清单'!$R$2:$R$200,"通过")</f>
        <v>0</v>
      </c>
      <c r="D19" s="35">
        <f>IF(B19=0,0,C19/B19)</f>
        <v>0</v>
      </c>
      <c r="E19" s="33"/>
      <c r="F19" s="33"/>
      <c r="G19" s="33"/>
      <c r="H19" s="33"/>
      <c r="I19" s="33"/>
    </row>
    <row r="20" ht="28" customHeight="1" spans="1:9">
      <c r="A20" s="34" t="s">
        <v>61</v>
      </c>
      <c r="B20" s="34">
        <f>COUNTIFS('01_需求自查清单'!$B$2:$B$200,A20,'01_需求自查清单'!$N$2:$N$200,"是")</f>
        <v>6</v>
      </c>
      <c r="C20" s="34">
        <f>COUNTIFS('01_需求自查清单'!$B$2:$B$200,A20,'01_需求自查清单'!$N$2:$N$200,"是",'01_需求自查清单'!$R$2:$R$200,"通过")</f>
        <v>0</v>
      </c>
      <c r="D20" s="35">
        <f>IF(B20=0,0,C20/B20)</f>
        <v>0</v>
      </c>
      <c r="E20" s="33"/>
      <c r="F20" s="32" t="s">
        <v>62</v>
      </c>
      <c r="G20" s="32"/>
      <c r="H20" s="32"/>
      <c r="I20" s="32"/>
    </row>
    <row r="21" ht="28" customHeight="1" spans="1:9">
      <c r="A21" s="33"/>
      <c r="B21" s="33"/>
      <c r="C21" s="33"/>
      <c r="D21" s="33"/>
      <c r="E21" s="33"/>
      <c r="F21" s="34" t="s">
        <v>63</v>
      </c>
      <c r="G21" s="34"/>
      <c r="H21" s="34"/>
      <c r="I21" s="34"/>
    </row>
    <row r="22" ht="28" customHeight="1" spans="1:9">
      <c r="A22" s="33"/>
      <c r="B22" s="33"/>
      <c r="C22" s="33"/>
      <c r="D22" s="33"/>
      <c r="E22" s="33"/>
      <c r="F22" s="34" t="s">
        <v>64</v>
      </c>
      <c r="G22" s="34"/>
      <c r="H22" s="34"/>
      <c r="I22" s="34"/>
    </row>
    <row r="23" ht="28" customHeight="1" spans="1:9">
      <c r="A23" s="33"/>
      <c r="B23" s="33"/>
      <c r="C23" s="33"/>
      <c r="D23" s="33"/>
      <c r="E23" s="33"/>
      <c r="F23" s="34" t="s">
        <v>65</v>
      </c>
      <c r="G23" s="34"/>
      <c r="H23" s="34"/>
      <c r="I23" s="34"/>
    </row>
    <row r="24" ht="28" customHeight="1" spans="1:9">
      <c r="A24" s="33"/>
      <c r="B24" s="33"/>
      <c r="C24" s="33"/>
      <c r="D24" s="33"/>
      <c r="E24" s="33"/>
      <c r="F24" s="34" t="s">
        <v>66</v>
      </c>
      <c r="G24" s="34"/>
      <c r="H24" s="34"/>
      <c r="I24" s="34"/>
    </row>
    <row r="25" ht="28" customHeight="1" spans="1:9">
      <c r="A25" s="33"/>
      <c r="B25" s="33"/>
      <c r="C25" s="33"/>
      <c r="D25" s="33"/>
      <c r="E25" s="33"/>
      <c r="F25" s="34" t="s">
        <v>67</v>
      </c>
      <c r="G25" s="34"/>
      <c r="H25" s="34"/>
      <c r="I25" s="34"/>
    </row>
    <row r="27" ht="24" customHeight="1" spans="1:9">
      <c r="A27" s="36" t="s">
        <v>68</v>
      </c>
      <c r="B27" s="37"/>
      <c r="C27" s="37"/>
      <c r="D27" s="37"/>
    </row>
    <row r="28" spans="1:9">
      <c r="A28" s="38" t="s">
        <v>69</v>
      </c>
      <c r="B28" s="38" t="s">
        <v>70</v>
      </c>
      <c r="C28" s="38" t="s">
        <v>71</v>
      </c>
      <c r="D28" s="38" t="s">
        <v>72</v>
      </c>
    </row>
    <row r="29" ht="30" spans="1:9">
      <c r="A29" s="39" t="s">
        <v>73</v>
      </c>
      <c r="B29" s="39">
        <f>COUNTIFS('01_需求自查清单'!$K:$K,"*规则表*",'01_需求自查清单'!$N:$N,"是",'01_需求自查清单'!$R:$R,"&lt;&gt;通过",'01_需求自查清单'!$R:$R,"&lt;&gt;不适用")</f>
        <v>22</v>
      </c>
      <c r="C29" s="39" t="s">
        <v>74</v>
      </c>
      <c r="D29" s="39" t="s">
        <v>75</v>
      </c>
    </row>
    <row r="30" ht="30" spans="1:9">
      <c r="A30" s="39" t="s">
        <v>76</v>
      </c>
      <c r="B30" s="39">
        <f>COUNTIFS('01_需求自查清单'!$K:$K,"*字段规则表*",'01_需求自查清单'!$N:$N,"是",'01_需求自查清单'!$R:$R,"&lt;&gt;通过",'01_需求自查清单'!$R:$R,"&lt;&gt;不适用")</f>
        <v>2</v>
      </c>
      <c r="C30" s="39" t="s">
        <v>77</v>
      </c>
      <c r="D30" s="39" t="s">
        <v>78</v>
      </c>
    </row>
    <row r="31" ht="30" spans="1:9">
      <c r="A31" s="39" t="s">
        <v>79</v>
      </c>
      <c r="B31" s="39">
        <f>COUNTIFS('01_需求自查清单'!$K:$K,"*校验规则表*",'01_需求自查清单'!$N:$N,"是",'01_需求自查清单'!$R:$R,"&lt;&gt;通过",'01_需求自查清单'!$R:$R,"&lt;&gt;不适用")</f>
        <v>2</v>
      </c>
      <c r="C31" s="39" t="s">
        <v>80</v>
      </c>
      <c r="D31" s="39" t="s">
        <v>81</v>
      </c>
    </row>
    <row r="32" ht="30" spans="1:9">
      <c r="A32" s="39" t="s">
        <v>82</v>
      </c>
      <c r="B32" s="39">
        <f>COUNTIFS('01_需求自查清单'!$K:$K,"*数据口径表*",'01_需求自查清单'!$N:$N,"是",'01_需求自查清单'!$R:$R,"&lt;&gt;通过",'01_需求自查清单'!$R:$R,"&lt;&gt;不适用")</f>
        <v>0</v>
      </c>
      <c r="C32" s="39" t="s">
        <v>83</v>
      </c>
      <c r="D32" s="39" t="s">
        <v>84</v>
      </c>
    </row>
    <row r="33" ht="30" spans="1:4">
      <c r="A33" s="39" t="s">
        <v>85</v>
      </c>
      <c r="B33" s="39">
        <f>COUNTIFS('01_需求自查清单'!$K:$K,"*异常规则表*",'01_需求自查清单'!$N:$N,"是",'01_需求自查清单'!$R:$R,"&lt;&gt;通过",'01_需求自查清单'!$R:$R,"&lt;&gt;不适用")</f>
        <v>1</v>
      </c>
      <c r="C33" s="39" t="s">
        <v>86</v>
      </c>
      <c r="D33" s="39" t="s">
        <v>87</v>
      </c>
    </row>
    <row r="34" ht="30" spans="1:4">
      <c r="A34" s="39" t="s">
        <v>88</v>
      </c>
      <c r="B34" s="39">
        <f>COUNTIFS('01_需求自查清单'!$K:$K,"*验收标准表*",'01_需求自查清单'!$N:$N,"是",'01_需求自查清单'!$R:$R,"&lt;&gt;通过",'01_需求自查清单'!$R:$R,"&lt;&gt;不适用")</f>
        <v>1</v>
      </c>
      <c r="C34" s="39" t="s">
        <v>89</v>
      </c>
      <c r="D34" s="39" t="s">
        <v>90</v>
      </c>
    </row>
    <row r="35" ht="30" spans="1:4">
      <c r="A35" s="39" t="s">
        <v>91</v>
      </c>
      <c r="B35" s="39">
        <f>COUNTIFS('01_需求自查清单'!$K:$K,"*自测用例表*",'01_需求自查清单'!$N:$N,"是",'01_需求自查清单'!$R:$R,"&lt;&gt;通过",'01_需求自查清单'!$R:$R,"&lt;&gt;不适用")</f>
        <v>1</v>
      </c>
      <c r="C35" s="39" t="s">
        <v>92</v>
      </c>
      <c r="D35" s="39" t="s">
        <v>93</v>
      </c>
    </row>
    <row r="36" ht="30" spans="1:4">
      <c r="A36" s="39" t="s">
        <v>94</v>
      </c>
      <c r="B36" s="39">
        <f>COUNTIFS('01_需求自查清单'!$K:$K,"*风险接受表*",'01_需求自查清单'!$N:$N,"是",'01_需求自查清单'!$R:$R,"&lt;&gt;通过",'01_需求自查清单'!$R:$R,"&lt;&gt;不适用")</f>
        <v>1</v>
      </c>
      <c r="C36" s="39" t="s">
        <v>95</v>
      </c>
      <c r="D36" s="39" t="s">
        <v>96</v>
      </c>
    </row>
  </sheetData>
  <mergeCells count="3">
    <mergeCell ref="A1:I1"/>
    <mergeCell ref="A2:I2"/>
    <mergeCell ref="A27:I27"/>
  </mergeCells>
  <conditionalFormatting sqref="B7">
    <cfRule type="expression" dxfId="0" priority="1">
      <formula>B7&gt;0</formula>
    </cfRule>
  </conditionalFormatting>
  <conditionalFormatting sqref="B8">
    <cfRule type="expression" dxfId="1" priority="2">
      <formula>B8&gt;0</formula>
    </cfRule>
  </conditionalFormatting>
  <conditionalFormatting sqref="B14">
    <cfRule type="expression" dxfId="2" priority="3">
      <formula>LEFT(B14,2)="不可"</formula>
    </cfRule>
    <cfRule type="expression" dxfId="3" priority="4">
      <formula>LEFT(B14,2)="默认"</formula>
    </cfRule>
    <cfRule type="expression" dxfId="4" priority="5">
      <formula>LEFT(B14,2)="待检"</formula>
    </cfRule>
    <cfRule type="expression" dxfId="5" priority="6">
      <formula>LEFT(B14,2)="待补"</formula>
    </cfRule>
    <cfRule type="expression" dxfId="6" priority="7">
      <formula>LEFT(B14,2)="可进"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7"/>
  <sheetViews>
    <sheetView topLeftCell="G1" workbookViewId="0">
      <selection activeCell="W32" sqref="W32"/>
    </sheetView>
  </sheetViews>
  <sheetFormatPr defaultColWidth="9" defaultRowHeight="15"/>
  <cols>
    <col min="1" max="1" width="6" customWidth="1"/>
    <col min="2" max="2" width="12" customWidth="1"/>
    <col min="3" max="3" width="18" customWidth="1"/>
    <col min="4" max="4" width="14" customWidth="1"/>
    <col min="5" max="5" width="18" customWidth="1"/>
    <col min="6" max="6" width="26" customWidth="1"/>
    <col min="7" max="7" width="30" customWidth="1"/>
    <col min="8" max="8" width="38" customWidth="1"/>
    <col min="9" max="9" width="34" customWidth="1"/>
    <col min="10" max="10" width="20" customWidth="1"/>
    <col min="11" max="11" width="18" customWidth="1"/>
    <col min="12" max="12" width="10" customWidth="1"/>
    <col min="13" max="13" width="12" customWidth="1"/>
    <col min="14" max="16" width="10" customWidth="1"/>
    <col min="17" max="18" width="12" customWidth="1"/>
    <col min="19" max="19" width="28" customWidth="1"/>
    <col min="20" max="20" width="22" customWidth="1"/>
    <col min="21" max="21" width="18" customWidth="1"/>
    <col min="22" max="22" width="20" customWidth="1"/>
  </cols>
  <sheetData>
    <row r="1" customHeight="1" spans="1:22">
      <c r="A1" s="25" t="s">
        <v>97</v>
      </c>
      <c r="B1" s="25" t="s">
        <v>53</v>
      </c>
      <c r="C1" s="25" t="s">
        <v>98</v>
      </c>
      <c r="D1" s="25" t="s">
        <v>99</v>
      </c>
      <c r="E1" s="25" t="s">
        <v>100</v>
      </c>
      <c r="F1" s="25" t="s">
        <v>101</v>
      </c>
      <c r="G1" s="25" t="s">
        <v>102</v>
      </c>
      <c r="H1" s="25" t="s">
        <v>103</v>
      </c>
      <c r="I1" s="25" t="s">
        <v>104</v>
      </c>
      <c r="J1" s="25" t="s">
        <v>105</v>
      </c>
      <c r="K1" s="25" t="s">
        <v>106</v>
      </c>
      <c r="L1" s="25" t="s">
        <v>107</v>
      </c>
      <c r="M1" s="25" t="s">
        <v>108</v>
      </c>
      <c r="N1" s="25" t="s">
        <v>109</v>
      </c>
      <c r="O1" s="25" t="s">
        <v>110</v>
      </c>
      <c r="P1" s="25" t="s">
        <v>111</v>
      </c>
      <c r="Q1" s="25" t="s">
        <v>112</v>
      </c>
      <c r="R1" s="25" t="s">
        <v>5</v>
      </c>
      <c r="S1" s="25" t="s">
        <v>113</v>
      </c>
      <c r="T1" s="25" t="s">
        <v>114</v>
      </c>
      <c r="U1" s="25" t="s">
        <v>115</v>
      </c>
      <c r="V1" s="26" t="s">
        <v>72</v>
      </c>
    </row>
    <row r="2" ht="24" customHeight="1" spans="1:22">
      <c r="A2" s="27">
        <v>1</v>
      </c>
      <c r="B2" s="27" t="s">
        <v>59</v>
      </c>
      <c r="C2" s="27" t="s">
        <v>116</v>
      </c>
      <c r="D2" s="27" t="s">
        <v>117</v>
      </c>
      <c r="E2" s="27" t="s">
        <v>118</v>
      </c>
      <c r="F2" s="27" t="s">
        <v>119</v>
      </c>
      <c r="G2" s="27" t="s">
        <v>120</v>
      </c>
      <c r="H2" s="27" t="s">
        <v>121</v>
      </c>
      <c r="I2" s="27" t="s">
        <v>122</v>
      </c>
      <c r="J2" s="27" t="s">
        <v>123</v>
      </c>
      <c r="K2" s="27" t="s">
        <v>124</v>
      </c>
      <c r="L2" s="27" t="s">
        <v>13</v>
      </c>
      <c r="M2" s="27" t="s">
        <v>125</v>
      </c>
      <c r="N2" s="27" t="s">
        <v>126</v>
      </c>
      <c r="O2" s="27" t="s">
        <v>127</v>
      </c>
      <c r="P2" s="27" t="s">
        <v>127</v>
      </c>
      <c r="Q2" s="27" t="s">
        <v>127</v>
      </c>
      <c r="R2" s="27" t="str">
        <f>IF(N2="否","不适用",IF(N2&lt;&gt;"是","待判断",IF(AND(O2="是",P2="是"),"通过",IF(O2="部分","待补充",IF(AND(O2="否",L2="P0"),"P0阻塞",IF(AND(O2="否",L2="P1"),"P1风险",IF(O2="否","建议优化","待检查")))))))</f>
        <v>待检查</v>
      </c>
      <c r="S2" s="27" t="s">
        <v>128</v>
      </c>
      <c r="T2" s="27" t="s">
        <v>127</v>
      </c>
      <c r="U2" s="27" t="s">
        <v>127</v>
      </c>
      <c r="V2" s="28" t="s">
        <v>127</v>
      </c>
    </row>
    <row r="3" ht="24" customHeight="1" spans="1:22">
      <c r="A3" s="27">
        <v>2</v>
      </c>
      <c r="B3" s="27" t="s">
        <v>59</v>
      </c>
      <c r="C3" s="27" t="s">
        <v>116</v>
      </c>
      <c r="D3" s="27" t="s">
        <v>129</v>
      </c>
      <c r="E3" s="27" t="s">
        <v>130</v>
      </c>
      <c r="F3" s="27" t="s">
        <v>119</v>
      </c>
      <c r="G3" s="27" t="s">
        <v>131</v>
      </c>
      <c r="H3" s="27" t="s">
        <v>132</v>
      </c>
      <c r="I3" s="27" t="s">
        <v>133</v>
      </c>
      <c r="J3" s="27" t="s">
        <v>134</v>
      </c>
      <c r="K3" s="27" t="s">
        <v>135</v>
      </c>
      <c r="L3" s="27" t="s">
        <v>13</v>
      </c>
      <c r="M3" s="27" t="s">
        <v>125</v>
      </c>
      <c r="N3" s="27" t="s">
        <v>126</v>
      </c>
      <c r="O3" s="27" t="s">
        <v>127</v>
      </c>
      <c r="P3" s="27" t="s">
        <v>127</v>
      </c>
      <c r="Q3" s="27" t="s">
        <v>127</v>
      </c>
      <c r="R3" s="27" t="str">
        <f>IF(N3="否","不适用",IF(N3&lt;&gt;"是","待判断",IF(AND(O3="是",P3="是"),"通过",IF(O3="部分","待补充",IF(AND(O3="否",L3="P0"),"P0阻塞",IF(AND(O3="否",L3="P2"),"P2风险",IF(O3="否","建议优化","待检查")))))))</f>
        <v>待检查</v>
      </c>
      <c r="S3" s="27" t="s">
        <v>136</v>
      </c>
      <c r="T3" s="27" t="s">
        <v>127</v>
      </c>
      <c r="U3" s="27" t="s">
        <v>127</v>
      </c>
      <c r="V3" s="28" t="s">
        <v>127</v>
      </c>
    </row>
    <row r="4" ht="24" customHeight="1" spans="1:22">
      <c r="A4" s="27">
        <v>3</v>
      </c>
      <c r="B4" s="27" t="s">
        <v>59</v>
      </c>
      <c r="C4" s="27" t="s">
        <v>116</v>
      </c>
      <c r="D4" s="27" t="s">
        <v>137</v>
      </c>
      <c r="E4" s="27" t="s">
        <v>138</v>
      </c>
      <c r="F4" s="27" t="s">
        <v>139</v>
      </c>
      <c r="G4" s="27" t="s">
        <v>140</v>
      </c>
      <c r="H4" s="27" t="s">
        <v>141</v>
      </c>
      <c r="I4" s="27" t="s">
        <v>142</v>
      </c>
      <c r="J4" s="27" t="s">
        <v>143</v>
      </c>
      <c r="K4" s="27" t="s">
        <v>144</v>
      </c>
      <c r="L4" s="27" t="s">
        <v>13</v>
      </c>
      <c r="M4" s="27" t="s">
        <v>125</v>
      </c>
      <c r="N4" s="27" t="s">
        <v>126</v>
      </c>
      <c r="O4" s="27" t="s">
        <v>127</v>
      </c>
      <c r="P4" s="27" t="s">
        <v>127</v>
      </c>
      <c r="Q4" s="27" t="s">
        <v>127</v>
      </c>
      <c r="R4" s="27" t="str">
        <f>IF(N4="否","不适用",IF(N4&lt;&gt;"是","待判断",IF(AND(O4="是",P4="是"),"通过",IF(O4="部分","待补充",IF(AND(O4="否",L4="P0"),"P0阻塞",IF(AND(O4="否",L4="P3"),"P3风险",IF(O4="否","建议优化","待检查")))))))</f>
        <v>待检查</v>
      </c>
      <c r="S4" s="27" t="s">
        <v>145</v>
      </c>
      <c r="T4" s="27" t="s">
        <v>127</v>
      </c>
      <c r="U4" s="27" t="s">
        <v>127</v>
      </c>
      <c r="V4" s="28" t="s">
        <v>127</v>
      </c>
    </row>
    <row r="5" ht="24" customHeight="1" spans="1:22">
      <c r="A5" s="27">
        <v>4</v>
      </c>
      <c r="B5" s="27" t="s">
        <v>59</v>
      </c>
      <c r="C5" s="27" t="s">
        <v>146</v>
      </c>
      <c r="D5" s="27" t="s">
        <v>147</v>
      </c>
      <c r="E5" s="27" t="s">
        <v>148</v>
      </c>
      <c r="F5" s="27" t="s">
        <v>119</v>
      </c>
      <c r="G5" s="27" t="s">
        <v>149</v>
      </c>
      <c r="H5" s="27" t="s">
        <v>150</v>
      </c>
      <c r="I5" s="27" t="s">
        <v>151</v>
      </c>
      <c r="J5" s="27" t="s">
        <v>152</v>
      </c>
      <c r="K5" s="27" t="s">
        <v>144</v>
      </c>
      <c r="L5" s="27" t="s">
        <v>13</v>
      </c>
      <c r="M5" s="27" t="s">
        <v>125</v>
      </c>
      <c r="N5" s="27" t="s">
        <v>126</v>
      </c>
      <c r="O5" s="27" t="s">
        <v>127</v>
      </c>
      <c r="P5" s="27" t="s">
        <v>127</v>
      </c>
      <c r="Q5" s="27" t="s">
        <v>127</v>
      </c>
      <c r="R5" s="27" t="str">
        <f>IF(N5="否","不适用",IF(N5&lt;&gt;"是","待判断",IF(AND(O5="是",P5="是"),"通过",IF(O5="部分","待补充",IF(AND(O5="否",L5="P0"),"P0阻塞",IF(AND(O5="否",L5="P4"),"P4风险",IF(O5="否","建议优化","待检查")))))))</f>
        <v>待检查</v>
      </c>
      <c r="S5" s="27" t="s">
        <v>153</v>
      </c>
      <c r="T5" s="27" t="s">
        <v>127</v>
      </c>
      <c r="U5" s="27" t="s">
        <v>127</v>
      </c>
      <c r="V5" s="28" t="s">
        <v>127</v>
      </c>
    </row>
    <row r="6" ht="24" customHeight="1" spans="1:22">
      <c r="A6" s="27">
        <v>5</v>
      </c>
      <c r="B6" s="27" t="s">
        <v>59</v>
      </c>
      <c r="C6" s="27" t="s">
        <v>146</v>
      </c>
      <c r="D6" s="27" t="s">
        <v>154</v>
      </c>
      <c r="E6" s="27" t="s">
        <v>155</v>
      </c>
      <c r="F6" s="27" t="s">
        <v>156</v>
      </c>
      <c r="G6" s="27" t="s">
        <v>157</v>
      </c>
      <c r="H6" s="27" t="s">
        <v>158</v>
      </c>
      <c r="I6" s="27" t="s">
        <v>159</v>
      </c>
      <c r="J6" s="27" t="s">
        <v>160</v>
      </c>
      <c r="K6" s="27" t="s">
        <v>161</v>
      </c>
      <c r="L6" s="27" t="s">
        <v>13</v>
      </c>
      <c r="M6" s="27" t="s">
        <v>162</v>
      </c>
      <c r="N6" s="27" t="s">
        <v>126</v>
      </c>
      <c r="O6" s="27" t="s">
        <v>127</v>
      </c>
      <c r="P6" s="27" t="s">
        <v>127</v>
      </c>
      <c r="Q6" s="27" t="s">
        <v>127</v>
      </c>
      <c r="R6" s="27" t="str">
        <f>IF(N6="否","不适用",IF(N6&lt;&gt;"是","待判断",IF(AND(O6="是",P6="是"),"通过",IF(O6="部分","待补充",IF(AND(O6="否",L6="P0"),"P0阻塞",IF(AND(O6="否",L6="P5"),"P5风险",IF(O6="否","建议优化","待检查")))))))</f>
        <v>待检查</v>
      </c>
      <c r="S6" s="27" t="s">
        <v>163</v>
      </c>
      <c r="T6" s="27" t="s">
        <v>127</v>
      </c>
      <c r="U6" s="27" t="s">
        <v>127</v>
      </c>
      <c r="V6" s="28" t="s">
        <v>127</v>
      </c>
    </row>
    <row r="7" ht="24" customHeight="1" spans="1:22">
      <c r="A7" s="27">
        <v>6</v>
      </c>
      <c r="B7" s="27" t="s">
        <v>59</v>
      </c>
      <c r="C7" s="27" t="s">
        <v>146</v>
      </c>
      <c r="D7" s="27" t="s">
        <v>164</v>
      </c>
      <c r="E7" s="27" t="s">
        <v>165</v>
      </c>
      <c r="F7" s="27" t="s">
        <v>166</v>
      </c>
      <c r="G7" s="27" t="s">
        <v>167</v>
      </c>
      <c r="H7" s="27" t="s">
        <v>168</v>
      </c>
      <c r="I7" s="27" t="s">
        <v>169</v>
      </c>
      <c r="J7" s="27" t="s">
        <v>170</v>
      </c>
      <c r="K7" s="27" t="s">
        <v>171</v>
      </c>
      <c r="L7" s="27" t="s">
        <v>13</v>
      </c>
      <c r="M7" s="27" t="s">
        <v>162</v>
      </c>
      <c r="N7" s="27" t="s">
        <v>126</v>
      </c>
      <c r="O7" s="27" t="s">
        <v>127</v>
      </c>
      <c r="P7" s="27" t="s">
        <v>127</v>
      </c>
      <c r="Q7" s="27" t="s">
        <v>127</v>
      </c>
      <c r="R7" s="27" t="str">
        <f>IF(N7="否","不适用",IF(N7&lt;&gt;"是","待判断",IF(AND(O7="是",P7="是"),"通过",IF(O7="部分","待补充",IF(AND(O7="否",L7="P0"),"P0阻塞",IF(AND(O7="否",L7="P6"),"P6风险",IF(O7="否","建议优化","待检查")))))))</f>
        <v>待检查</v>
      </c>
      <c r="S7" s="27" t="s">
        <v>172</v>
      </c>
      <c r="T7" s="27" t="s">
        <v>127</v>
      </c>
      <c r="U7" s="27" t="s">
        <v>127</v>
      </c>
      <c r="V7" s="28" t="s">
        <v>127</v>
      </c>
    </row>
    <row r="8" ht="24" customHeight="1" spans="1:22">
      <c r="A8" s="27">
        <v>7</v>
      </c>
      <c r="B8" s="27" t="s">
        <v>59</v>
      </c>
      <c r="C8" s="27" t="s">
        <v>146</v>
      </c>
      <c r="D8" s="27" t="s">
        <v>173</v>
      </c>
      <c r="E8" s="27" t="s">
        <v>174</v>
      </c>
      <c r="F8" s="27" t="s">
        <v>175</v>
      </c>
      <c r="G8" s="27" t="s">
        <v>176</v>
      </c>
      <c r="H8" s="27" t="s">
        <v>177</v>
      </c>
      <c r="I8" s="27" t="s">
        <v>178</v>
      </c>
      <c r="J8" s="27" t="s">
        <v>179</v>
      </c>
      <c r="K8" s="27" t="s">
        <v>180</v>
      </c>
      <c r="L8" s="27" t="s">
        <v>13</v>
      </c>
      <c r="M8" s="27" t="s">
        <v>162</v>
      </c>
      <c r="N8" s="27" t="s">
        <v>126</v>
      </c>
      <c r="O8" s="27" t="s">
        <v>127</v>
      </c>
      <c r="P8" s="27" t="s">
        <v>127</v>
      </c>
      <c r="Q8" s="27" t="s">
        <v>127</v>
      </c>
      <c r="R8" s="27" t="str">
        <f>IF(N8="否","不适用",IF(N8&lt;&gt;"是","待判断",IF(AND(O8="是",P8="是"),"通过",IF(O8="部分","待补充",IF(AND(O8="否",L8="P0"),"P0阻塞",IF(AND(O8="否",L8="P7"),"P7风险",IF(O8="否","建议优化","待检查")))))))</f>
        <v>待检查</v>
      </c>
      <c r="S8" s="27" t="s">
        <v>181</v>
      </c>
      <c r="T8" s="27" t="s">
        <v>127</v>
      </c>
      <c r="U8" s="27" t="s">
        <v>127</v>
      </c>
      <c r="V8" s="28" t="s">
        <v>127</v>
      </c>
    </row>
    <row r="9" ht="24" customHeight="1" spans="1:22">
      <c r="A9" s="27">
        <v>8</v>
      </c>
      <c r="B9" s="27" t="s">
        <v>59</v>
      </c>
      <c r="C9" s="27" t="s">
        <v>182</v>
      </c>
      <c r="D9" s="27" t="s">
        <v>183</v>
      </c>
      <c r="E9" s="27" t="s">
        <v>184</v>
      </c>
      <c r="F9" s="27" t="s">
        <v>185</v>
      </c>
      <c r="G9" s="27" t="s">
        <v>186</v>
      </c>
      <c r="H9" s="27" t="s">
        <v>187</v>
      </c>
      <c r="I9" s="27" t="s">
        <v>188</v>
      </c>
      <c r="J9" s="27" t="s">
        <v>189</v>
      </c>
      <c r="K9" s="27" t="s">
        <v>190</v>
      </c>
      <c r="L9" s="27" t="s">
        <v>13</v>
      </c>
      <c r="M9" s="27" t="s">
        <v>162</v>
      </c>
      <c r="N9" s="27" t="s">
        <v>126</v>
      </c>
      <c r="O9" s="27" t="s">
        <v>127</v>
      </c>
      <c r="P9" s="27" t="s">
        <v>127</v>
      </c>
      <c r="Q9" s="27" t="s">
        <v>127</v>
      </c>
      <c r="R9" s="27" t="str">
        <f>IF(N9="否","不适用",IF(N9&lt;&gt;"是","待判断",IF(AND(O9="是",P9="是"),"通过",IF(O9="部分","待补充",IF(AND(O9="否",L9="P0"),"P0阻塞",IF(AND(O9="否",L9="P8"),"P8风险",IF(O9="否","建议优化","待检查")))))))</f>
        <v>待检查</v>
      </c>
      <c r="S9" s="27" t="s">
        <v>191</v>
      </c>
      <c r="T9" s="27" t="s">
        <v>127</v>
      </c>
      <c r="U9" s="27" t="s">
        <v>127</v>
      </c>
      <c r="V9" s="28" t="s">
        <v>127</v>
      </c>
    </row>
    <row r="10" ht="79.2" customHeight="1" spans="1:22">
      <c r="A10" s="27">
        <v>9</v>
      </c>
      <c r="B10" s="27" t="s">
        <v>59</v>
      </c>
      <c r="C10" s="27" t="s">
        <v>182</v>
      </c>
      <c r="D10" s="27" t="s">
        <v>192</v>
      </c>
      <c r="E10" s="27" t="s">
        <v>193</v>
      </c>
      <c r="F10" s="27" t="s">
        <v>194</v>
      </c>
      <c r="G10" s="27" t="s">
        <v>195</v>
      </c>
      <c r="H10" s="27" t="s">
        <v>196</v>
      </c>
      <c r="I10" s="27" t="s">
        <v>197</v>
      </c>
      <c r="J10" s="27" t="s">
        <v>198</v>
      </c>
      <c r="K10" s="27" t="s">
        <v>199</v>
      </c>
      <c r="L10" s="27" t="s">
        <v>13</v>
      </c>
      <c r="M10" s="27" t="s">
        <v>162</v>
      </c>
      <c r="N10" s="27" t="s">
        <v>126</v>
      </c>
      <c r="O10" s="27" t="s">
        <v>127</v>
      </c>
      <c r="P10" s="27" t="s">
        <v>127</v>
      </c>
      <c r="Q10" s="27" t="s">
        <v>127</v>
      </c>
      <c r="R10" s="27" t="str">
        <f>IF(N10="否","不适用",IF(N10&lt;&gt;"是","待判断",IF(AND(O10="是",P10="是"),"通过",IF(O10="部分","待补充",IF(AND(O10="否",L10="P0"),"P0阻塞",IF(AND(O10="否",L10="P9"),"P9风险",IF(O10="否","建议优化","待检查")))))))</f>
        <v>待检查</v>
      </c>
      <c r="S10" s="27" t="s">
        <v>200</v>
      </c>
      <c r="T10" s="27" t="s">
        <v>127</v>
      </c>
      <c r="U10" s="27" t="s">
        <v>127</v>
      </c>
      <c r="V10" s="28" t="s">
        <v>201</v>
      </c>
    </row>
    <row r="11" ht="24" customHeight="1" spans="1:22">
      <c r="A11" s="27">
        <v>10</v>
      </c>
      <c r="B11" s="27" t="s">
        <v>59</v>
      </c>
      <c r="C11" s="27" t="s">
        <v>182</v>
      </c>
      <c r="D11" s="27" t="s">
        <v>202</v>
      </c>
      <c r="E11" s="27" t="s">
        <v>203</v>
      </c>
      <c r="F11" s="27" t="s">
        <v>204</v>
      </c>
      <c r="G11" s="27" t="s">
        <v>205</v>
      </c>
      <c r="H11" s="27" t="s">
        <v>206</v>
      </c>
      <c r="I11" s="27" t="s">
        <v>207</v>
      </c>
      <c r="J11" s="27" t="s">
        <v>208</v>
      </c>
      <c r="K11" s="27" t="s">
        <v>209</v>
      </c>
      <c r="L11" s="27" t="s">
        <v>13</v>
      </c>
      <c r="M11" s="27" t="s">
        <v>162</v>
      </c>
      <c r="N11" s="27" t="s">
        <v>126</v>
      </c>
      <c r="O11" s="27" t="s">
        <v>127</v>
      </c>
      <c r="P11" s="27" t="s">
        <v>127</v>
      </c>
      <c r="Q11" s="27" t="s">
        <v>127</v>
      </c>
      <c r="R11" s="27" t="str">
        <f>IF(N11="否","不适用",IF(N11&lt;&gt;"是","待判断",IF(AND(O11="是",P11="是"),"通过",IF(O11="部分","待补充",IF(AND(O11="否",L11="P0"),"P0阻塞",IF(AND(O11="否",L11="P10"),"P10风险",IF(O11="否","建议优化","待检查")))))))</f>
        <v>待检查</v>
      </c>
      <c r="S11" s="27" t="s">
        <v>210</v>
      </c>
      <c r="T11" s="27" t="s">
        <v>127</v>
      </c>
      <c r="U11" s="27" t="s">
        <v>127</v>
      </c>
      <c r="V11" s="28" t="s">
        <v>127</v>
      </c>
    </row>
    <row r="12" ht="79.2" customHeight="1" spans="1:22">
      <c r="A12" s="27">
        <v>11</v>
      </c>
      <c r="B12" s="27" t="s">
        <v>59</v>
      </c>
      <c r="C12" s="27" t="s">
        <v>211</v>
      </c>
      <c r="D12" s="27" t="s">
        <v>212</v>
      </c>
      <c r="E12" s="27" t="s">
        <v>213</v>
      </c>
      <c r="F12" s="27" t="s">
        <v>185</v>
      </c>
      <c r="G12" s="27" t="s">
        <v>214</v>
      </c>
      <c r="H12" s="27" t="s">
        <v>215</v>
      </c>
      <c r="I12" s="27" t="s">
        <v>216</v>
      </c>
      <c r="J12" s="27" t="s">
        <v>217</v>
      </c>
      <c r="K12" s="27" t="s">
        <v>218</v>
      </c>
      <c r="L12" s="27" t="s">
        <v>13</v>
      </c>
      <c r="M12" s="27" t="s">
        <v>162</v>
      </c>
      <c r="N12" s="27" t="s">
        <v>126</v>
      </c>
      <c r="O12" s="27" t="s">
        <v>127</v>
      </c>
      <c r="P12" s="27" t="s">
        <v>127</v>
      </c>
      <c r="Q12" s="27" t="s">
        <v>127</v>
      </c>
      <c r="R12" s="27" t="str">
        <f>IF(N12="否","不适用",IF(N12&lt;&gt;"是","待判断",IF(AND(O12="是",P12="是"),"通过",IF(O12="部分","待补充",IF(AND(O12="否",L12="P0"),"P0阻塞",IF(AND(O12="否",L12="P11"),"P11风险",IF(O12="否","建议优化","待检查")))))))</f>
        <v>待检查</v>
      </c>
      <c r="S12" s="27" t="s">
        <v>219</v>
      </c>
      <c r="T12" s="27" t="s">
        <v>127</v>
      </c>
      <c r="U12" s="27" t="s">
        <v>127</v>
      </c>
      <c r="V12" s="28" t="s">
        <v>201</v>
      </c>
    </row>
    <row r="13" ht="24" customHeight="1" spans="1:22">
      <c r="A13" s="27">
        <v>12</v>
      </c>
      <c r="B13" s="27" t="s">
        <v>59</v>
      </c>
      <c r="C13" s="27" t="s">
        <v>211</v>
      </c>
      <c r="D13" s="27" t="s">
        <v>220</v>
      </c>
      <c r="E13" s="27" t="s">
        <v>221</v>
      </c>
      <c r="F13" s="27" t="s">
        <v>222</v>
      </c>
      <c r="G13" s="27" t="s">
        <v>223</v>
      </c>
      <c r="H13" s="27" t="s">
        <v>224</v>
      </c>
      <c r="I13" s="27" t="s">
        <v>225</v>
      </c>
      <c r="J13" s="27" t="s">
        <v>226</v>
      </c>
      <c r="K13" s="27" t="s">
        <v>227</v>
      </c>
      <c r="L13" s="27" t="s">
        <v>13</v>
      </c>
      <c r="M13" s="27" t="s">
        <v>125</v>
      </c>
      <c r="N13" s="27" t="s">
        <v>126</v>
      </c>
      <c r="O13" s="27" t="s">
        <v>127</v>
      </c>
      <c r="P13" s="27" t="s">
        <v>127</v>
      </c>
      <c r="Q13" s="27" t="s">
        <v>127</v>
      </c>
      <c r="R13" s="27" t="str">
        <f>IF(N13="否","不适用",IF(N13&lt;&gt;"是","待判断",IF(AND(O13="是",P13="是"),"通过",IF(O13="部分","待补充",IF(AND(O13="否",L13="P0"),"P0阻塞",IF(AND(O13="否",L13="P12"),"P12风险",IF(O13="否","建议优化","待检查")))))))</f>
        <v>待检查</v>
      </c>
      <c r="S13" s="27" t="s">
        <v>228</v>
      </c>
      <c r="T13" s="27" t="s">
        <v>127</v>
      </c>
      <c r="U13" s="27" t="s">
        <v>127</v>
      </c>
      <c r="V13" s="28" t="s">
        <v>127</v>
      </c>
    </row>
    <row r="14" ht="24" customHeight="1" spans="1:22">
      <c r="A14" s="27">
        <v>13</v>
      </c>
      <c r="B14" s="27" t="s">
        <v>59</v>
      </c>
      <c r="C14" s="27" t="s">
        <v>211</v>
      </c>
      <c r="D14" s="27" t="s">
        <v>229</v>
      </c>
      <c r="E14" s="27" t="s">
        <v>230</v>
      </c>
      <c r="F14" s="27" t="s">
        <v>231</v>
      </c>
      <c r="G14" s="27" t="s">
        <v>232</v>
      </c>
      <c r="H14" s="27" t="s">
        <v>233</v>
      </c>
      <c r="I14" s="27" t="s">
        <v>234</v>
      </c>
      <c r="J14" s="27" t="s">
        <v>235</v>
      </c>
      <c r="K14" s="27" t="s">
        <v>236</v>
      </c>
      <c r="L14" s="27" t="s">
        <v>13</v>
      </c>
      <c r="M14" s="27" t="s">
        <v>162</v>
      </c>
      <c r="N14" s="27" t="s">
        <v>126</v>
      </c>
      <c r="O14" s="27" t="s">
        <v>127</v>
      </c>
      <c r="P14" s="27" t="s">
        <v>127</v>
      </c>
      <c r="Q14" s="27" t="s">
        <v>127</v>
      </c>
      <c r="R14" s="27" t="str">
        <f>IF(N14="否","不适用",IF(N14&lt;&gt;"是","待判断",IF(AND(O14="是",P14="是"),"通过",IF(O14="部分","待补充",IF(AND(O14="否",L14="P0"),"P0阻塞",IF(AND(O14="否",L14="P13"),"P13风险",IF(O14="否","建议优化","待检查")))))))</f>
        <v>待检查</v>
      </c>
      <c r="S14" s="27" t="s">
        <v>237</v>
      </c>
      <c r="T14" s="27" t="s">
        <v>127</v>
      </c>
      <c r="U14" s="27" t="s">
        <v>127</v>
      </c>
      <c r="V14" s="28" t="s">
        <v>127</v>
      </c>
    </row>
    <row r="15" ht="24" customHeight="1" spans="1:22">
      <c r="A15" s="27">
        <v>14</v>
      </c>
      <c r="B15" s="27" t="s">
        <v>59</v>
      </c>
      <c r="C15" s="27" t="s">
        <v>238</v>
      </c>
      <c r="D15" s="27" t="s">
        <v>239</v>
      </c>
      <c r="E15" s="27" t="s">
        <v>240</v>
      </c>
      <c r="F15" s="27" t="s">
        <v>241</v>
      </c>
      <c r="G15" s="27" t="s">
        <v>242</v>
      </c>
      <c r="H15" s="27" t="s">
        <v>243</v>
      </c>
      <c r="I15" s="27" t="s">
        <v>244</v>
      </c>
      <c r="J15" s="27" t="s">
        <v>245</v>
      </c>
      <c r="K15" s="27" t="s">
        <v>246</v>
      </c>
      <c r="L15" s="27" t="s">
        <v>17</v>
      </c>
      <c r="M15" s="27" t="s">
        <v>162</v>
      </c>
      <c r="N15" s="27" t="s">
        <v>126</v>
      </c>
      <c r="O15" s="27" t="s">
        <v>127</v>
      </c>
      <c r="P15" s="27" t="s">
        <v>127</v>
      </c>
      <c r="Q15" s="27" t="s">
        <v>127</v>
      </c>
      <c r="R15" s="27" t="str">
        <f>IF(N15="否","不适用",IF(N15&lt;&gt;"是","待判断",IF(AND(O15="是",P15="是"),"通过",IF(O15="部分","待补充",IF(AND(O15="否",L15="P0"),"P0阻塞",IF(AND(O15="否",L15="P14"),"P14风险",IF(O15="否","建议优化","待检查")))))))</f>
        <v>待检查</v>
      </c>
      <c r="S15" s="27" t="s">
        <v>247</v>
      </c>
      <c r="T15" s="27" t="s">
        <v>127</v>
      </c>
      <c r="U15" s="27" t="s">
        <v>127</v>
      </c>
      <c r="V15" s="28" t="s">
        <v>127</v>
      </c>
    </row>
    <row r="16" ht="24" customHeight="1" spans="1:22">
      <c r="A16" s="27">
        <v>15</v>
      </c>
      <c r="B16" s="27" t="s">
        <v>59</v>
      </c>
      <c r="C16" s="27" t="s">
        <v>238</v>
      </c>
      <c r="D16" s="27" t="s">
        <v>248</v>
      </c>
      <c r="E16" s="27" t="s">
        <v>249</v>
      </c>
      <c r="F16" s="27" t="s">
        <v>250</v>
      </c>
      <c r="G16" s="27" t="s">
        <v>251</v>
      </c>
      <c r="H16" s="27" t="s">
        <v>252</v>
      </c>
      <c r="I16" s="27" t="s">
        <v>253</v>
      </c>
      <c r="J16" s="27" t="s">
        <v>254</v>
      </c>
      <c r="K16" s="27" t="s">
        <v>255</v>
      </c>
      <c r="L16" s="27" t="s">
        <v>17</v>
      </c>
      <c r="M16" s="27" t="s">
        <v>256</v>
      </c>
      <c r="N16" s="27" t="s">
        <v>126</v>
      </c>
      <c r="O16" s="27" t="s">
        <v>127</v>
      </c>
      <c r="P16" s="27" t="s">
        <v>127</v>
      </c>
      <c r="Q16" s="27" t="s">
        <v>127</v>
      </c>
      <c r="R16" s="27" t="str">
        <f>IF(N16="否","不适用",IF(N16&lt;&gt;"是","待判断",IF(AND(O16="是",P16="是"),"通过",IF(O16="部分","待补充",IF(AND(O16="否",L16="P0"),"P0阻塞",IF(AND(O16="否",L16="P15"),"P15风险",IF(O16="否","建议优化","待检查")))))))</f>
        <v>待检查</v>
      </c>
      <c r="S16" s="27" t="s">
        <v>257</v>
      </c>
      <c r="T16" s="27" t="s">
        <v>127</v>
      </c>
      <c r="U16" s="27" t="s">
        <v>127</v>
      </c>
      <c r="V16" s="28" t="s">
        <v>127</v>
      </c>
    </row>
    <row r="17" ht="79.2" customHeight="1" spans="1:22">
      <c r="A17" s="27">
        <v>16</v>
      </c>
      <c r="B17" s="27" t="s">
        <v>59</v>
      </c>
      <c r="C17" s="27" t="s">
        <v>211</v>
      </c>
      <c r="D17" s="27" t="s">
        <v>258</v>
      </c>
      <c r="E17" s="27" t="s">
        <v>259</v>
      </c>
      <c r="F17" s="27" t="s">
        <v>185</v>
      </c>
      <c r="G17" s="27" t="s">
        <v>260</v>
      </c>
      <c r="H17" s="27" t="s">
        <v>261</v>
      </c>
      <c r="I17" s="27" t="s">
        <v>262</v>
      </c>
      <c r="J17" s="27" t="s">
        <v>263</v>
      </c>
      <c r="K17" s="27" t="s">
        <v>85</v>
      </c>
      <c r="L17" s="27" t="s">
        <v>13</v>
      </c>
      <c r="M17" s="27" t="s">
        <v>162</v>
      </c>
      <c r="N17" s="27" t="s">
        <v>126</v>
      </c>
      <c r="O17" s="27" t="s">
        <v>127</v>
      </c>
      <c r="P17" s="27" t="s">
        <v>127</v>
      </c>
      <c r="Q17" s="27" t="s">
        <v>127</v>
      </c>
      <c r="R17" s="27" t="str">
        <f>IF(N17="否","不适用",IF(N17&lt;&gt;"是","待判断",IF(AND(O17="是",P17="是"),"通过",IF(O17="部分","待补充",IF(AND(O17="否",L17="P0"),"P0阻塞",IF(AND(O17="否",L17="P16"),"P16风险",IF(O17="否","建议优化","待检查")))))))</f>
        <v>待检查</v>
      </c>
      <c r="S17" s="27" t="s">
        <v>264</v>
      </c>
      <c r="T17" s="27" t="s">
        <v>127</v>
      </c>
      <c r="U17" s="27" t="s">
        <v>127</v>
      </c>
      <c r="V17" s="28" t="s">
        <v>265</v>
      </c>
    </row>
    <row r="18" ht="79.2" customHeight="1" spans="1:22">
      <c r="A18" s="27">
        <v>17</v>
      </c>
      <c r="B18" s="27" t="s">
        <v>59</v>
      </c>
      <c r="C18" s="27" t="s">
        <v>182</v>
      </c>
      <c r="D18" s="27" t="s">
        <v>266</v>
      </c>
      <c r="E18" s="27" t="s">
        <v>267</v>
      </c>
      <c r="F18" s="27" t="s">
        <v>268</v>
      </c>
      <c r="G18" s="27" t="s">
        <v>269</v>
      </c>
      <c r="H18" s="27" t="s">
        <v>270</v>
      </c>
      <c r="I18" s="27" t="s">
        <v>271</v>
      </c>
      <c r="J18" s="27" t="s">
        <v>272</v>
      </c>
      <c r="K18" s="27" t="s">
        <v>273</v>
      </c>
      <c r="L18" s="27" t="s">
        <v>17</v>
      </c>
      <c r="M18" s="27" t="s">
        <v>162</v>
      </c>
      <c r="N18" s="27" t="s">
        <v>126</v>
      </c>
      <c r="O18" s="27" t="s">
        <v>127</v>
      </c>
      <c r="P18" s="27" t="s">
        <v>127</v>
      </c>
      <c r="Q18" s="27" t="s">
        <v>127</v>
      </c>
      <c r="R18" s="27" t="str">
        <f>IF(N18="否","不适用",IF(N18&lt;&gt;"是","待判断",IF(AND(O18="是",P18="是"),"通过",IF(O18="部分","待补充",IF(AND(O18="否",L18="P0"),"P0阻塞",IF(AND(O18="否",L18="P17"),"P17风险",IF(O18="否","建议优化","待检查")))))))</f>
        <v>待检查</v>
      </c>
      <c r="S18" s="27" t="s">
        <v>274</v>
      </c>
      <c r="T18" s="27" t="s">
        <v>127</v>
      </c>
      <c r="U18" s="27" t="s">
        <v>127</v>
      </c>
      <c r="V18" s="28" t="s">
        <v>201</v>
      </c>
    </row>
    <row r="19" ht="24" customHeight="1" spans="1:22">
      <c r="A19" s="27">
        <v>18</v>
      </c>
      <c r="B19" s="27" t="s">
        <v>59</v>
      </c>
      <c r="C19" s="27" t="s">
        <v>238</v>
      </c>
      <c r="D19" s="27" t="s">
        <v>275</v>
      </c>
      <c r="E19" s="27" t="s">
        <v>276</v>
      </c>
      <c r="F19" s="27" t="s">
        <v>277</v>
      </c>
      <c r="G19" s="27" t="s">
        <v>278</v>
      </c>
      <c r="H19" s="27" t="s">
        <v>279</v>
      </c>
      <c r="I19" s="27" t="s">
        <v>280</v>
      </c>
      <c r="J19" s="27" t="s">
        <v>281</v>
      </c>
      <c r="K19" s="27" t="s">
        <v>282</v>
      </c>
      <c r="L19" s="27" t="s">
        <v>13</v>
      </c>
      <c r="M19" s="27" t="s">
        <v>125</v>
      </c>
      <c r="N19" s="27" t="s">
        <v>126</v>
      </c>
      <c r="O19" s="27" t="s">
        <v>127</v>
      </c>
      <c r="P19" s="27" t="s">
        <v>127</v>
      </c>
      <c r="Q19" s="27" t="s">
        <v>127</v>
      </c>
      <c r="R19" s="27" t="str">
        <f>IF(N19="否","不适用",IF(N19&lt;&gt;"是","待判断",IF(AND(O19="是",P19="是"),"通过",IF(O19="部分","待补充",IF(AND(O19="否",L19="P0"),"P0阻塞",IF(AND(O19="否",L19="P18"),"P18风险",IF(O19="否","建议优化","待检查")))))))</f>
        <v>待检查</v>
      </c>
      <c r="S19" s="27" t="s">
        <v>283</v>
      </c>
      <c r="T19" s="27" t="s">
        <v>127</v>
      </c>
      <c r="U19" s="27" t="s">
        <v>127</v>
      </c>
      <c r="V19" s="28" t="s">
        <v>127</v>
      </c>
    </row>
    <row r="20" ht="79.2" customHeight="1" spans="1:22">
      <c r="A20" s="27">
        <v>19</v>
      </c>
      <c r="B20" s="27" t="s">
        <v>59</v>
      </c>
      <c r="C20" s="27" t="s">
        <v>182</v>
      </c>
      <c r="D20" s="27" t="s">
        <v>284</v>
      </c>
      <c r="E20" s="27" t="s">
        <v>285</v>
      </c>
      <c r="F20" s="27" t="s">
        <v>119</v>
      </c>
      <c r="G20" s="27" t="s">
        <v>286</v>
      </c>
      <c r="H20" s="27" t="s">
        <v>287</v>
      </c>
      <c r="I20" s="27" t="s">
        <v>288</v>
      </c>
      <c r="J20" s="27" t="s">
        <v>289</v>
      </c>
      <c r="K20" s="27" t="s">
        <v>88</v>
      </c>
      <c r="L20" s="27" t="s">
        <v>13</v>
      </c>
      <c r="M20" s="27" t="s">
        <v>125</v>
      </c>
      <c r="N20" s="27" t="s">
        <v>126</v>
      </c>
      <c r="O20" s="27" t="s">
        <v>127</v>
      </c>
      <c r="P20" s="27" t="s">
        <v>127</v>
      </c>
      <c r="Q20" s="27" t="s">
        <v>127</v>
      </c>
      <c r="R20" s="27" t="str">
        <f>IF(N20="否","不适用",IF(N20&lt;&gt;"是","待判断",IF(AND(O20="是",P20="是"),"通过",IF(O20="部分","待补充",IF(AND(O20="否",L20="P0"),"P0阻塞",IF(AND(O20="否",L20="P19"),"P19风险",IF(O20="否","建议优化","待检查")))))))</f>
        <v>待检查</v>
      </c>
      <c r="S20" s="27" t="s">
        <v>290</v>
      </c>
      <c r="T20" s="27" t="s">
        <v>127</v>
      </c>
      <c r="U20" s="27" t="s">
        <v>127</v>
      </c>
      <c r="V20" s="28" t="s">
        <v>291</v>
      </c>
    </row>
    <row r="21" ht="79.2" customHeight="1" spans="1:22">
      <c r="A21" s="27">
        <v>20</v>
      </c>
      <c r="B21" s="27" t="s">
        <v>59</v>
      </c>
      <c r="C21" s="27" t="s">
        <v>182</v>
      </c>
      <c r="D21" s="27" t="s">
        <v>292</v>
      </c>
      <c r="E21" s="27" t="s">
        <v>293</v>
      </c>
      <c r="F21" s="27" t="s">
        <v>185</v>
      </c>
      <c r="G21" s="27" t="s">
        <v>294</v>
      </c>
      <c r="H21" s="27" t="s">
        <v>295</v>
      </c>
      <c r="I21" s="27" t="s">
        <v>296</v>
      </c>
      <c r="J21" s="27" t="s">
        <v>297</v>
      </c>
      <c r="K21" s="27" t="s">
        <v>91</v>
      </c>
      <c r="L21" s="27" t="s">
        <v>17</v>
      </c>
      <c r="M21" s="27" t="s">
        <v>162</v>
      </c>
      <c r="N21" s="27" t="s">
        <v>126</v>
      </c>
      <c r="O21" s="27" t="s">
        <v>127</v>
      </c>
      <c r="P21" s="27" t="s">
        <v>127</v>
      </c>
      <c r="Q21" s="27" t="s">
        <v>127</v>
      </c>
      <c r="R21" s="27" t="str">
        <f>IF(N21="否","不适用",IF(N21&lt;&gt;"是","待判断",IF(AND(O21="是",P21="是"),"通过",IF(O21="部分","待补充",IF(AND(O21="否",L21="P0"),"P0阻塞",IF(AND(O21="否",L21="P20"),"P20风险",IF(O21="否","建议优化","待检查")))))))</f>
        <v>待检查</v>
      </c>
      <c r="S21" s="27" t="s">
        <v>298</v>
      </c>
      <c r="T21" s="27" t="s">
        <v>127</v>
      </c>
      <c r="U21" s="27" t="s">
        <v>127</v>
      </c>
      <c r="V21" s="28" t="s">
        <v>299</v>
      </c>
    </row>
    <row r="22" ht="24" customHeight="1" spans="1:22">
      <c r="A22" s="27">
        <v>21</v>
      </c>
      <c r="B22" s="27" t="s">
        <v>59</v>
      </c>
      <c r="C22" s="27" t="s">
        <v>300</v>
      </c>
      <c r="D22" s="27" t="s">
        <v>42</v>
      </c>
      <c r="E22" s="27" t="s">
        <v>301</v>
      </c>
      <c r="F22" s="27" t="s">
        <v>119</v>
      </c>
      <c r="G22" s="27" t="s">
        <v>302</v>
      </c>
      <c r="H22" s="27" t="s">
        <v>303</v>
      </c>
      <c r="I22" s="27" t="s">
        <v>304</v>
      </c>
      <c r="J22" s="27" t="s">
        <v>305</v>
      </c>
      <c r="K22" s="27" t="s">
        <v>306</v>
      </c>
      <c r="L22" s="27" t="s">
        <v>13</v>
      </c>
      <c r="M22" s="27" t="s">
        <v>125</v>
      </c>
      <c r="N22" s="27" t="s">
        <v>126</v>
      </c>
      <c r="O22" s="27" t="s">
        <v>127</v>
      </c>
      <c r="P22" s="27" t="s">
        <v>127</v>
      </c>
      <c r="Q22" s="27" t="s">
        <v>127</v>
      </c>
      <c r="R22" s="27" t="str">
        <f>IF(N22="否","不适用",IF(N22&lt;&gt;"是","待判断",IF(AND(O22="是",P22="是"),"通过",IF(O22="部分","待补充",IF(AND(O22="否",L22="P0"),"P0阻塞",IF(AND(O22="否",L22="P21"),"P21风险",IF(O22="否","建议优化","待检查")))))))</f>
        <v>待检查</v>
      </c>
      <c r="S22" s="27" t="s">
        <v>307</v>
      </c>
      <c r="T22" s="27" t="s">
        <v>127</v>
      </c>
      <c r="U22" s="27" t="s">
        <v>127</v>
      </c>
      <c r="V22" s="28" t="s">
        <v>127</v>
      </c>
    </row>
    <row r="23" ht="79.2" customHeight="1" spans="1:22">
      <c r="A23" s="27">
        <v>22</v>
      </c>
      <c r="B23" s="27" t="s">
        <v>60</v>
      </c>
      <c r="C23" s="27" t="s">
        <v>308</v>
      </c>
      <c r="D23" s="27" t="s">
        <v>309</v>
      </c>
      <c r="E23" s="27" t="s">
        <v>310</v>
      </c>
      <c r="F23" s="27" t="s">
        <v>311</v>
      </c>
      <c r="G23" s="27" t="s">
        <v>312</v>
      </c>
      <c r="H23" s="27" t="s">
        <v>313</v>
      </c>
      <c r="I23" s="27" t="s">
        <v>314</v>
      </c>
      <c r="J23" s="27" t="s">
        <v>315</v>
      </c>
      <c r="K23" s="27" t="s">
        <v>76</v>
      </c>
      <c r="L23" s="27" t="s">
        <v>17</v>
      </c>
      <c r="M23" s="27" t="s">
        <v>125</v>
      </c>
      <c r="N23" s="27" t="s">
        <v>126</v>
      </c>
      <c r="O23" s="27" t="s">
        <v>127</v>
      </c>
      <c r="P23" s="27" t="s">
        <v>127</v>
      </c>
      <c r="Q23" s="27" t="s">
        <v>127</v>
      </c>
      <c r="R23" s="27" t="str">
        <f>IF(N23="否","不适用",IF(N23&lt;&gt;"是","待判断",IF(AND(O23="是",P23="是"),"通过",IF(O23="部分","待补充",IF(AND(O23="否",L23="P0"),"P0阻塞",IF(AND(O23="否",L23="P22"),"P22风险",IF(O23="否","建议优化","待检查")))))))</f>
        <v>待检查</v>
      </c>
      <c r="S23" s="27" t="s">
        <v>316</v>
      </c>
      <c r="T23" s="27" t="s">
        <v>127</v>
      </c>
      <c r="U23" s="27" t="s">
        <v>127</v>
      </c>
      <c r="V23" s="28" t="s">
        <v>317</v>
      </c>
    </row>
    <row r="24" ht="79.2" customHeight="1" spans="1:22">
      <c r="A24" s="27">
        <v>23</v>
      </c>
      <c r="B24" s="27" t="s">
        <v>60</v>
      </c>
      <c r="C24" s="27" t="s">
        <v>308</v>
      </c>
      <c r="D24" s="27" t="s">
        <v>318</v>
      </c>
      <c r="E24" s="27" t="s">
        <v>319</v>
      </c>
      <c r="F24" s="27" t="s">
        <v>320</v>
      </c>
      <c r="G24" s="27" t="s">
        <v>321</v>
      </c>
      <c r="H24" s="27" t="s">
        <v>322</v>
      </c>
      <c r="I24" s="27" t="s">
        <v>323</v>
      </c>
      <c r="J24" s="27" t="s">
        <v>324</v>
      </c>
      <c r="K24" s="27" t="s">
        <v>79</v>
      </c>
      <c r="L24" s="27" t="s">
        <v>13</v>
      </c>
      <c r="M24" s="27" t="s">
        <v>125</v>
      </c>
      <c r="N24" s="27" t="s">
        <v>126</v>
      </c>
      <c r="O24" s="27" t="s">
        <v>127</v>
      </c>
      <c r="P24" s="27" t="s">
        <v>127</v>
      </c>
      <c r="Q24" s="27" t="s">
        <v>127</v>
      </c>
      <c r="R24" s="27" t="str">
        <f>IF(N24="否","不适用",IF(N24&lt;&gt;"是","待判断",IF(AND(O24="是",P24="是"),"通过",IF(O24="部分","待补充",IF(AND(O24="否",L24="P0"),"P0阻塞",IF(AND(O24="否",L24="P23"),"P23风险",IF(O24="否","建议优化","待检查")))))))</f>
        <v>待检查</v>
      </c>
      <c r="S24" s="27" t="s">
        <v>325</v>
      </c>
      <c r="T24" s="27" t="s">
        <v>127</v>
      </c>
      <c r="U24" s="27" t="s">
        <v>127</v>
      </c>
      <c r="V24" s="28" t="s">
        <v>326</v>
      </c>
    </row>
    <row r="25" ht="79.2" customHeight="1" spans="1:22">
      <c r="A25" s="27">
        <v>24</v>
      </c>
      <c r="B25" s="27" t="s">
        <v>60</v>
      </c>
      <c r="C25" s="27" t="s">
        <v>308</v>
      </c>
      <c r="D25" s="27" t="s">
        <v>327</v>
      </c>
      <c r="E25" s="27" t="s">
        <v>328</v>
      </c>
      <c r="F25" s="27" t="s">
        <v>329</v>
      </c>
      <c r="G25" s="27" t="s">
        <v>330</v>
      </c>
      <c r="H25" s="27" t="s">
        <v>331</v>
      </c>
      <c r="I25" s="27" t="s">
        <v>332</v>
      </c>
      <c r="J25" s="27" t="s">
        <v>324</v>
      </c>
      <c r="K25" s="27" t="s">
        <v>79</v>
      </c>
      <c r="L25" s="27" t="s">
        <v>17</v>
      </c>
      <c r="M25" s="27" t="s">
        <v>125</v>
      </c>
      <c r="N25" s="27" t="s">
        <v>126</v>
      </c>
      <c r="O25" s="27" t="s">
        <v>127</v>
      </c>
      <c r="P25" s="27" t="s">
        <v>127</v>
      </c>
      <c r="Q25" s="27" t="s">
        <v>127</v>
      </c>
      <c r="R25" s="27" t="str">
        <f>IF(N25="否","不适用",IF(N25&lt;&gt;"是","待判断",IF(AND(O25="是",P25="是"),"通过",IF(O25="部分","待补充",IF(AND(O25="否",L25="P0"),"P0阻塞",IF(AND(O25="否",L25="P24"),"P24风险",IF(O25="否","建议优化","待检查")))))))</f>
        <v>待检查</v>
      </c>
      <c r="S25" s="27" t="s">
        <v>333</v>
      </c>
      <c r="T25" s="27" t="s">
        <v>127</v>
      </c>
      <c r="U25" s="27" t="s">
        <v>127</v>
      </c>
      <c r="V25" s="28" t="s">
        <v>326</v>
      </c>
    </row>
    <row r="26" ht="79.2" customHeight="1" spans="1:22">
      <c r="A26" s="27">
        <v>25</v>
      </c>
      <c r="B26" s="27" t="s">
        <v>60</v>
      </c>
      <c r="C26" s="27" t="s">
        <v>308</v>
      </c>
      <c r="D26" s="27" t="s">
        <v>334</v>
      </c>
      <c r="E26" s="27" t="s">
        <v>335</v>
      </c>
      <c r="F26" s="27" t="s">
        <v>336</v>
      </c>
      <c r="G26" s="27" t="s">
        <v>337</v>
      </c>
      <c r="H26" s="27" t="s">
        <v>338</v>
      </c>
      <c r="I26" s="27" t="s">
        <v>339</v>
      </c>
      <c r="J26" s="27" t="s">
        <v>340</v>
      </c>
      <c r="K26" s="27" t="s">
        <v>341</v>
      </c>
      <c r="L26" s="27" t="s">
        <v>17</v>
      </c>
      <c r="M26" s="27" t="s">
        <v>162</v>
      </c>
      <c r="N26" s="27" t="s">
        <v>126</v>
      </c>
      <c r="O26" s="27" t="s">
        <v>127</v>
      </c>
      <c r="P26" s="27" t="s">
        <v>127</v>
      </c>
      <c r="Q26" s="27" t="s">
        <v>127</v>
      </c>
      <c r="R26" s="27" t="str">
        <f>IF(N26="否","不适用",IF(N26&lt;&gt;"是","待判断",IF(AND(O26="是",P26="是"),"通过",IF(O26="部分","待补充",IF(AND(O26="否",L26="P0"),"P0阻塞",IF(AND(O26="否",L26="P25"),"P25风险",IF(O26="否","建议优化","待检查")))))))</f>
        <v>待检查</v>
      </c>
      <c r="S26" s="27" t="s">
        <v>342</v>
      </c>
      <c r="T26" s="27" t="s">
        <v>127</v>
      </c>
      <c r="U26" s="27" t="s">
        <v>127</v>
      </c>
      <c r="V26" s="28" t="s">
        <v>201</v>
      </c>
    </row>
    <row r="27" ht="79.2" customHeight="1" spans="1:22">
      <c r="A27" s="27">
        <v>26</v>
      </c>
      <c r="B27" s="27" t="s">
        <v>60</v>
      </c>
      <c r="C27" s="27" t="s">
        <v>308</v>
      </c>
      <c r="D27" s="27" t="s">
        <v>343</v>
      </c>
      <c r="E27" s="27" t="s">
        <v>344</v>
      </c>
      <c r="F27" s="27" t="s">
        <v>345</v>
      </c>
      <c r="G27" s="27" t="s">
        <v>346</v>
      </c>
      <c r="H27" s="27" t="s">
        <v>347</v>
      </c>
      <c r="I27" s="27" t="s">
        <v>348</v>
      </c>
      <c r="J27" s="27" t="s">
        <v>349</v>
      </c>
      <c r="K27" s="27" t="s">
        <v>76</v>
      </c>
      <c r="L27" s="27" t="s">
        <v>17</v>
      </c>
      <c r="M27" s="27" t="s">
        <v>125</v>
      </c>
      <c r="N27" s="27" t="s">
        <v>126</v>
      </c>
      <c r="O27" s="27" t="s">
        <v>127</v>
      </c>
      <c r="P27" s="27" t="s">
        <v>127</v>
      </c>
      <c r="Q27" s="27" t="s">
        <v>127</v>
      </c>
      <c r="R27" s="27" t="str">
        <f>IF(N27="否","不适用",IF(N27&lt;&gt;"是","待判断",IF(AND(O27="是",P27="是"),"通过",IF(O27="部分","待补充",IF(AND(O27="否",L27="P0"),"P0阻塞",IF(AND(O27="否",L27="P26"),"P26风险",IF(O27="否","建议优化","待检查")))))))</f>
        <v>待检查</v>
      </c>
      <c r="S27" s="27" t="s">
        <v>350</v>
      </c>
      <c r="T27" s="27" t="s">
        <v>127</v>
      </c>
      <c r="U27" s="27" t="s">
        <v>127</v>
      </c>
      <c r="V27" s="28" t="s">
        <v>317</v>
      </c>
    </row>
    <row r="28" ht="79.2" customHeight="1" spans="1:22">
      <c r="A28" s="27">
        <v>27</v>
      </c>
      <c r="B28" s="27" t="s">
        <v>60</v>
      </c>
      <c r="C28" s="27" t="s">
        <v>308</v>
      </c>
      <c r="D28" s="27" t="s">
        <v>351</v>
      </c>
      <c r="E28" s="27" t="s">
        <v>352</v>
      </c>
      <c r="F28" s="27" t="s">
        <v>353</v>
      </c>
      <c r="G28" s="27" t="s">
        <v>354</v>
      </c>
      <c r="H28" s="27" t="s">
        <v>355</v>
      </c>
      <c r="I28" s="27" t="s">
        <v>356</v>
      </c>
      <c r="J28" s="27" t="s">
        <v>357</v>
      </c>
      <c r="K28" s="27" t="s">
        <v>358</v>
      </c>
      <c r="L28" s="27" t="s">
        <v>17</v>
      </c>
      <c r="M28" s="27" t="s">
        <v>125</v>
      </c>
      <c r="N28" s="27" t="s">
        <v>126</v>
      </c>
      <c r="O28" s="27" t="s">
        <v>127</v>
      </c>
      <c r="P28" s="27" t="s">
        <v>127</v>
      </c>
      <c r="Q28" s="27" t="s">
        <v>127</v>
      </c>
      <c r="R28" s="27" t="str">
        <f>IF(N28="否","不适用",IF(N28&lt;&gt;"是","待判断",IF(AND(O28="是",P28="是"),"通过",IF(O28="部分","待补充",IF(AND(O28="否",L28="P0"),"P0阻塞",IF(AND(O28="否",L28="P27"),"P27风险",IF(O28="否","建议优化","待检查")))))))</f>
        <v>待检查</v>
      </c>
      <c r="S28" s="27" t="s">
        <v>359</v>
      </c>
      <c r="T28" s="27" t="s">
        <v>127</v>
      </c>
      <c r="U28" s="27" t="s">
        <v>127</v>
      </c>
      <c r="V28" s="28" t="s">
        <v>201</v>
      </c>
    </row>
    <row r="29" ht="79.2" customHeight="1" spans="1:22">
      <c r="A29" s="27">
        <v>28</v>
      </c>
      <c r="B29" s="27" t="s">
        <v>60</v>
      </c>
      <c r="C29" s="27" t="s">
        <v>308</v>
      </c>
      <c r="D29" s="27" t="s">
        <v>360</v>
      </c>
      <c r="E29" s="27" t="s">
        <v>361</v>
      </c>
      <c r="F29" s="27" t="s">
        <v>362</v>
      </c>
      <c r="G29" s="27" t="s">
        <v>363</v>
      </c>
      <c r="H29" s="27" t="s">
        <v>364</v>
      </c>
      <c r="I29" s="27" t="s">
        <v>365</v>
      </c>
      <c r="J29" s="27" t="s">
        <v>366</v>
      </c>
      <c r="K29" s="27" t="s">
        <v>367</v>
      </c>
      <c r="L29" s="27" t="s">
        <v>21</v>
      </c>
      <c r="M29" s="27" t="s">
        <v>162</v>
      </c>
      <c r="N29" s="27" t="s">
        <v>126</v>
      </c>
      <c r="O29" s="27" t="s">
        <v>127</v>
      </c>
      <c r="P29" s="27" t="s">
        <v>127</v>
      </c>
      <c r="Q29" s="27" t="s">
        <v>127</v>
      </c>
      <c r="R29" s="27" t="str">
        <f>IF(N29="否","不适用",IF(N29&lt;&gt;"是","待判断",IF(AND(O29="是",P29="是"),"通过",IF(O29="部分","待补充",IF(AND(O29="否",L29="P0"),"P0阻塞",IF(AND(O29="否",L29="P28"),"P28风险",IF(O29="否","建议优化","待检查")))))))</f>
        <v>待检查</v>
      </c>
      <c r="S29" s="27" t="s">
        <v>368</v>
      </c>
      <c r="T29" s="27" t="s">
        <v>127</v>
      </c>
      <c r="U29" s="27" t="s">
        <v>127</v>
      </c>
      <c r="V29" s="28" t="s">
        <v>369</v>
      </c>
    </row>
    <row r="30" ht="24" customHeight="1" spans="1:22">
      <c r="A30" s="27">
        <v>29</v>
      </c>
      <c r="B30" s="27" t="s">
        <v>60</v>
      </c>
      <c r="C30" s="27" t="s">
        <v>308</v>
      </c>
      <c r="D30" s="27" t="s">
        <v>370</v>
      </c>
      <c r="E30" s="27" t="s">
        <v>371</v>
      </c>
      <c r="F30" s="27" t="s">
        <v>372</v>
      </c>
      <c r="G30" s="27" t="s">
        <v>373</v>
      </c>
      <c r="H30" s="27" t="s">
        <v>374</v>
      </c>
      <c r="I30" s="27" t="s">
        <v>375</v>
      </c>
      <c r="J30" s="27" t="s">
        <v>376</v>
      </c>
      <c r="K30" s="27" t="s">
        <v>377</v>
      </c>
      <c r="L30" s="27" t="s">
        <v>17</v>
      </c>
      <c r="M30" s="27" t="s">
        <v>125</v>
      </c>
      <c r="N30" s="27" t="s">
        <v>126</v>
      </c>
      <c r="O30" s="27" t="s">
        <v>127</v>
      </c>
      <c r="P30" s="27" t="s">
        <v>127</v>
      </c>
      <c r="Q30" s="27" t="s">
        <v>127</v>
      </c>
      <c r="R30" s="27" t="str">
        <f>IF(N30="否","不适用",IF(N30&lt;&gt;"是","待判断",IF(AND(O30="是",P30="是"),"通过",IF(O30="部分","待补充",IF(AND(O30="否",L30="P0"),"P0阻塞",IF(AND(O30="否",L30="P29"),"P29风险",IF(O30="否","建议优化","待检查")))))))</f>
        <v>待检查</v>
      </c>
      <c r="S30" s="27" t="s">
        <v>378</v>
      </c>
      <c r="T30" s="27" t="s">
        <v>127</v>
      </c>
      <c r="U30" s="27" t="s">
        <v>127</v>
      </c>
      <c r="V30" s="28" t="s">
        <v>127</v>
      </c>
    </row>
    <row r="31" ht="24" customHeight="1" spans="1:22">
      <c r="A31" s="27">
        <v>30</v>
      </c>
      <c r="B31" s="27" t="s">
        <v>60</v>
      </c>
      <c r="C31" s="27" t="s">
        <v>379</v>
      </c>
      <c r="D31" s="27" t="s">
        <v>380</v>
      </c>
      <c r="E31" s="27" t="s">
        <v>381</v>
      </c>
      <c r="F31" s="27" t="s">
        <v>382</v>
      </c>
      <c r="G31" s="27" t="s">
        <v>383</v>
      </c>
      <c r="H31" s="27" t="s">
        <v>384</v>
      </c>
      <c r="I31" s="27" t="s">
        <v>385</v>
      </c>
      <c r="J31" s="27" t="s">
        <v>386</v>
      </c>
      <c r="K31" s="27" t="s">
        <v>387</v>
      </c>
      <c r="L31" s="27" t="s">
        <v>17</v>
      </c>
      <c r="M31" s="27" t="s">
        <v>125</v>
      </c>
      <c r="N31" s="27" t="s">
        <v>126</v>
      </c>
      <c r="O31" s="27" t="s">
        <v>127</v>
      </c>
      <c r="P31" s="27" t="s">
        <v>127</v>
      </c>
      <c r="Q31" s="27" t="s">
        <v>127</v>
      </c>
      <c r="R31" s="27" t="str">
        <f>IF(N31="否","不适用",IF(N31&lt;&gt;"是","待判断",IF(AND(O31="是",P31="是"),"通过",IF(O31="部分","待补充",IF(AND(O31="否",L31="P0"),"P0阻塞",IF(AND(O31="否",L31="P30"),"P30风险",IF(O31="否","建议优化","待检查")))))))</f>
        <v>待检查</v>
      </c>
      <c r="S31" s="27" t="s">
        <v>388</v>
      </c>
      <c r="T31" s="27" t="s">
        <v>127</v>
      </c>
      <c r="U31" s="27" t="s">
        <v>127</v>
      </c>
      <c r="V31" s="28" t="s">
        <v>127</v>
      </c>
    </row>
    <row r="32" ht="79.2" customHeight="1" spans="1:22">
      <c r="A32" s="27">
        <v>31</v>
      </c>
      <c r="B32" s="27" t="s">
        <v>60</v>
      </c>
      <c r="C32" s="27" t="s">
        <v>379</v>
      </c>
      <c r="D32" s="27" t="s">
        <v>389</v>
      </c>
      <c r="E32" s="27" t="s">
        <v>390</v>
      </c>
      <c r="F32" s="27" t="s">
        <v>391</v>
      </c>
      <c r="G32" s="27" t="s">
        <v>392</v>
      </c>
      <c r="H32" s="27" t="s">
        <v>393</v>
      </c>
      <c r="I32" s="27" t="s">
        <v>394</v>
      </c>
      <c r="J32" s="27" t="s">
        <v>395</v>
      </c>
      <c r="K32" s="27" t="s">
        <v>396</v>
      </c>
      <c r="L32" s="27" t="s">
        <v>17</v>
      </c>
      <c r="M32" s="27" t="s">
        <v>125</v>
      </c>
      <c r="N32" s="27" t="s">
        <v>126</v>
      </c>
      <c r="O32" s="27" t="s">
        <v>127</v>
      </c>
      <c r="P32" s="27" t="s">
        <v>127</v>
      </c>
      <c r="Q32" s="27" t="s">
        <v>127</v>
      </c>
      <c r="R32" s="27" t="str">
        <f>IF(N32="否","不适用",IF(N32&lt;&gt;"是","待判断",IF(AND(O32="是",P32="是"),"通过",IF(O32="部分","待补充",IF(AND(O32="否",L32="P0"),"P0阻塞",IF(AND(O32="否",L32="P31"),"P31风险",IF(O32="否","建议优化","待检查")))))))</f>
        <v>待检查</v>
      </c>
      <c r="S32" s="27" t="s">
        <v>397</v>
      </c>
      <c r="T32" s="27" t="s">
        <v>127</v>
      </c>
      <c r="U32" s="27" t="s">
        <v>127</v>
      </c>
      <c r="V32" s="28" t="s">
        <v>201</v>
      </c>
    </row>
    <row r="33" ht="79.2" customHeight="1" spans="1:22">
      <c r="A33" s="27">
        <v>32</v>
      </c>
      <c r="B33" s="27" t="s">
        <v>60</v>
      </c>
      <c r="C33" s="27" t="s">
        <v>379</v>
      </c>
      <c r="D33" s="27" t="s">
        <v>398</v>
      </c>
      <c r="E33" s="27" t="s">
        <v>399</v>
      </c>
      <c r="F33" s="27" t="s">
        <v>400</v>
      </c>
      <c r="G33" s="27" t="s">
        <v>401</v>
      </c>
      <c r="H33" s="27" t="s">
        <v>402</v>
      </c>
      <c r="I33" s="27" t="s">
        <v>403</v>
      </c>
      <c r="J33" s="27" t="s">
        <v>404</v>
      </c>
      <c r="K33" s="27" t="s">
        <v>405</v>
      </c>
      <c r="L33" s="27" t="s">
        <v>21</v>
      </c>
      <c r="M33" s="27" t="s">
        <v>125</v>
      </c>
      <c r="N33" s="27" t="s">
        <v>126</v>
      </c>
      <c r="O33" s="27" t="s">
        <v>127</v>
      </c>
      <c r="P33" s="27" t="s">
        <v>127</v>
      </c>
      <c r="Q33" s="27" t="s">
        <v>127</v>
      </c>
      <c r="R33" s="27" t="str">
        <f>IF(N33="否","不适用",IF(N33&lt;&gt;"是","待判断",IF(AND(O33="是",P33="是"),"通过",IF(O33="部分","待补充",IF(AND(O33="否",L33="P0"),"P0阻塞",IF(AND(O33="否",L33="P32"),"P32风险",IF(O33="否","建议优化","待检查")))))))</f>
        <v>待检查</v>
      </c>
      <c r="S33" s="27" t="s">
        <v>406</v>
      </c>
      <c r="T33" s="27" t="s">
        <v>127</v>
      </c>
      <c r="U33" s="27" t="s">
        <v>127</v>
      </c>
      <c r="V33" s="28" t="s">
        <v>201</v>
      </c>
    </row>
    <row r="34" ht="79.2" customHeight="1" spans="1:22">
      <c r="A34" s="27">
        <v>33</v>
      </c>
      <c r="B34" s="27" t="s">
        <v>60</v>
      </c>
      <c r="C34" s="27" t="s">
        <v>379</v>
      </c>
      <c r="D34" s="27" t="s">
        <v>407</v>
      </c>
      <c r="E34" s="27" t="s">
        <v>408</v>
      </c>
      <c r="F34" s="27" t="s">
        <v>409</v>
      </c>
      <c r="G34" s="27" t="s">
        <v>410</v>
      </c>
      <c r="H34" s="27" t="s">
        <v>411</v>
      </c>
      <c r="I34" s="27" t="s">
        <v>412</v>
      </c>
      <c r="J34" s="27" t="s">
        <v>413</v>
      </c>
      <c r="K34" s="27" t="s">
        <v>414</v>
      </c>
      <c r="L34" s="27" t="s">
        <v>17</v>
      </c>
      <c r="M34" s="27" t="s">
        <v>125</v>
      </c>
      <c r="N34" s="27" t="s">
        <v>126</v>
      </c>
      <c r="O34" s="27" t="s">
        <v>127</v>
      </c>
      <c r="P34" s="27" t="s">
        <v>127</v>
      </c>
      <c r="Q34" s="27" t="s">
        <v>127</v>
      </c>
      <c r="R34" s="27" t="str">
        <f>IF(N34="否","不适用",IF(N34&lt;&gt;"是","待判断",IF(AND(O34="是",P34="是"),"通过",IF(O34="部分","待补充",IF(AND(O34="否",L34="P0"),"P0阻塞",IF(AND(O34="否",L34="P33"),"P33风险",IF(O34="否","建议优化","待检查")))))))</f>
        <v>待检查</v>
      </c>
      <c r="S34" s="27" t="s">
        <v>415</v>
      </c>
      <c r="T34" s="27" t="s">
        <v>127</v>
      </c>
      <c r="U34" s="27" t="s">
        <v>127</v>
      </c>
      <c r="V34" s="28" t="s">
        <v>201</v>
      </c>
    </row>
    <row r="35" ht="24" customHeight="1" spans="1:22">
      <c r="A35" s="27">
        <v>34</v>
      </c>
      <c r="B35" s="27" t="s">
        <v>60</v>
      </c>
      <c r="C35" s="27" t="s">
        <v>379</v>
      </c>
      <c r="D35" s="27" t="s">
        <v>416</v>
      </c>
      <c r="E35" s="27" t="s">
        <v>417</v>
      </c>
      <c r="F35" s="27" t="s">
        <v>418</v>
      </c>
      <c r="G35" s="27" t="s">
        <v>419</v>
      </c>
      <c r="H35" s="27" t="s">
        <v>420</v>
      </c>
      <c r="I35" s="27" t="s">
        <v>421</v>
      </c>
      <c r="J35" s="27" t="s">
        <v>413</v>
      </c>
      <c r="K35" s="27" t="s">
        <v>422</v>
      </c>
      <c r="L35" s="27" t="s">
        <v>17</v>
      </c>
      <c r="M35" s="27" t="s">
        <v>162</v>
      </c>
      <c r="N35" s="27" t="s">
        <v>126</v>
      </c>
      <c r="O35" s="27" t="s">
        <v>127</v>
      </c>
      <c r="P35" s="27" t="s">
        <v>127</v>
      </c>
      <c r="Q35" s="27" t="s">
        <v>127</v>
      </c>
      <c r="R35" s="27" t="str">
        <f>IF(N35="否","不适用",IF(N35&lt;&gt;"是","待判断",IF(AND(O35="是",P35="是"),"通过",IF(O35="部分","待补充",IF(AND(O35="否",L35="P0"),"P0阻塞",IF(AND(O35="否",L35="P34"),"P34风险",IF(O35="否","建议优化","待检查")))))))</f>
        <v>待检查</v>
      </c>
      <c r="S35" s="27" t="s">
        <v>423</v>
      </c>
      <c r="T35" s="27" t="s">
        <v>127</v>
      </c>
      <c r="U35" s="27" t="s">
        <v>127</v>
      </c>
      <c r="V35" s="28" t="s">
        <v>127</v>
      </c>
    </row>
    <row r="36" ht="79.2" customHeight="1" spans="1:22">
      <c r="A36" s="27">
        <v>35</v>
      </c>
      <c r="B36" s="27" t="s">
        <v>60</v>
      </c>
      <c r="C36" s="27" t="s">
        <v>379</v>
      </c>
      <c r="D36" s="27" t="s">
        <v>424</v>
      </c>
      <c r="E36" s="27" t="s">
        <v>425</v>
      </c>
      <c r="F36" s="27" t="s">
        <v>426</v>
      </c>
      <c r="G36" s="27" t="s">
        <v>427</v>
      </c>
      <c r="H36" s="27" t="s">
        <v>428</v>
      </c>
      <c r="I36" s="27" t="s">
        <v>429</v>
      </c>
      <c r="J36" s="27" t="s">
        <v>404</v>
      </c>
      <c r="K36" s="27" t="s">
        <v>430</v>
      </c>
      <c r="L36" s="27" t="s">
        <v>21</v>
      </c>
      <c r="M36" s="27" t="s">
        <v>125</v>
      </c>
      <c r="N36" s="27" t="s">
        <v>126</v>
      </c>
      <c r="O36" s="27" t="s">
        <v>127</v>
      </c>
      <c r="P36" s="27" t="s">
        <v>127</v>
      </c>
      <c r="Q36" s="27" t="s">
        <v>127</v>
      </c>
      <c r="R36" s="27" t="str">
        <f>IF(N36="否","不适用",IF(N36&lt;&gt;"是","待判断",IF(AND(O36="是",P36="是"),"通过",IF(O36="部分","待补充",IF(AND(O36="否",L36="P0"),"P0阻塞",IF(AND(O36="否",L36="P35"),"P35风险",IF(O36="否","建议优化","待检查")))))))</f>
        <v>待检查</v>
      </c>
      <c r="S36" s="27" t="s">
        <v>431</v>
      </c>
      <c r="T36" s="27" t="s">
        <v>127</v>
      </c>
      <c r="U36" s="27" t="s">
        <v>127</v>
      </c>
      <c r="V36" s="28" t="s">
        <v>201</v>
      </c>
    </row>
    <row r="37" ht="24" customHeight="1" spans="1:22">
      <c r="A37" s="27">
        <v>36</v>
      </c>
      <c r="B37" s="27" t="s">
        <v>60</v>
      </c>
      <c r="C37" s="27" t="s">
        <v>379</v>
      </c>
      <c r="D37" s="27" t="s">
        <v>432</v>
      </c>
      <c r="E37" s="27" t="s">
        <v>433</v>
      </c>
      <c r="F37" s="27" t="s">
        <v>434</v>
      </c>
      <c r="G37" s="27" t="s">
        <v>435</v>
      </c>
      <c r="H37" s="27" t="s">
        <v>436</v>
      </c>
      <c r="I37" s="27" t="s">
        <v>437</v>
      </c>
      <c r="J37" s="27" t="s">
        <v>438</v>
      </c>
      <c r="K37" s="27" t="s">
        <v>439</v>
      </c>
      <c r="L37" s="27" t="s">
        <v>13</v>
      </c>
      <c r="M37" s="27" t="s">
        <v>162</v>
      </c>
      <c r="N37" s="27" t="s">
        <v>126</v>
      </c>
      <c r="O37" s="27" t="s">
        <v>127</v>
      </c>
      <c r="P37" s="27" t="s">
        <v>127</v>
      </c>
      <c r="Q37" s="27" t="s">
        <v>127</v>
      </c>
      <c r="R37" s="27" t="str">
        <f>IF(N37="否","不适用",IF(N37&lt;&gt;"是","待判断",IF(AND(O37="是",P37="是"),"通过",IF(O37="部分","待补充",IF(AND(O37="否",L37="P0"),"P0阻塞",IF(AND(O37="否",L37="P36"),"P36风险",IF(O37="否","建议优化","待检查")))))))</f>
        <v>待检查</v>
      </c>
      <c r="S37" s="27" t="s">
        <v>440</v>
      </c>
      <c r="T37" s="27" t="s">
        <v>127</v>
      </c>
      <c r="U37" s="27" t="s">
        <v>127</v>
      </c>
      <c r="V37" s="28" t="s">
        <v>127</v>
      </c>
    </row>
    <row r="38" ht="24" customHeight="1" spans="1:22">
      <c r="A38" s="27">
        <v>37</v>
      </c>
      <c r="B38" s="27" t="s">
        <v>60</v>
      </c>
      <c r="C38" s="27" t="s">
        <v>441</v>
      </c>
      <c r="D38" s="27" t="s">
        <v>442</v>
      </c>
      <c r="E38" s="27" t="s">
        <v>443</v>
      </c>
      <c r="F38" s="27" t="s">
        <v>444</v>
      </c>
      <c r="G38" s="27" t="s">
        <v>445</v>
      </c>
      <c r="H38" s="27" t="s">
        <v>446</v>
      </c>
      <c r="I38" s="27" t="s">
        <v>447</v>
      </c>
      <c r="J38" s="27" t="s">
        <v>272</v>
      </c>
      <c r="K38" s="27" t="s">
        <v>448</v>
      </c>
      <c r="L38" s="27" t="s">
        <v>17</v>
      </c>
      <c r="M38" s="27" t="s">
        <v>125</v>
      </c>
      <c r="N38" s="27" t="s">
        <v>126</v>
      </c>
      <c r="O38" s="27" t="s">
        <v>127</v>
      </c>
      <c r="P38" s="27" t="s">
        <v>127</v>
      </c>
      <c r="Q38" s="27" t="s">
        <v>127</v>
      </c>
      <c r="R38" s="27" t="str">
        <f>IF(N38="否","不适用",IF(N38&lt;&gt;"是","待判断",IF(AND(O38="是",P38="是"),"通过",IF(O38="部分","待补充",IF(AND(O38="否",L38="P0"),"P0阻塞",IF(AND(O38="否",L38="P37"),"P37风险",IF(O38="否","建议优化","待检查")))))))</f>
        <v>待检查</v>
      </c>
      <c r="S38" s="27" t="s">
        <v>449</v>
      </c>
      <c r="T38" s="27" t="s">
        <v>127</v>
      </c>
      <c r="U38" s="27" t="s">
        <v>127</v>
      </c>
      <c r="V38" s="28" t="s">
        <v>127</v>
      </c>
    </row>
    <row r="39" ht="79.2" customHeight="1" spans="1:22">
      <c r="A39" s="27">
        <v>38</v>
      </c>
      <c r="B39" s="27" t="s">
        <v>60</v>
      </c>
      <c r="C39" s="27" t="s">
        <v>441</v>
      </c>
      <c r="D39" s="27" t="s">
        <v>450</v>
      </c>
      <c r="E39" s="27" t="s">
        <v>451</v>
      </c>
      <c r="F39" s="27" t="s">
        <v>452</v>
      </c>
      <c r="G39" s="27" t="s">
        <v>453</v>
      </c>
      <c r="H39" s="27" t="s">
        <v>454</v>
      </c>
      <c r="I39" s="27" t="s">
        <v>455</v>
      </c>
      <c r="J39" s="27" t="s">
        <v>456</v>
      </c>
      <c r="K39" s="27" t="s">
        <v>457</v>
      </c>
      <c r="L39" s="27" t="s">
        <v>17</v>
      </c>
      <c r="M39" s="27" t="s">
        <v>162</v>
      </c>
      <c r="N39" s="27" t="s">
        <v>126</v>
      </c>
      <c r="O39" s="27" t="s">
        <v>127</v>
      </c>
      <c r="P39" s="27" t="s">
        <v>127</v>
      </c>
      <c r="Q39" s="27" t="s">
        <v>127</v>
      </c>
      <c r="R39" s="27" t="str">
        <f>IF(N39="否","不适用",IF(N39&lt;&gt;"是","待判断",IF(AND(O39="是",P39="是"),"通过",IF(O39="部分","待补充",IF(AND(O39="否",L39="P0"),"P0阻塞",IF(AND(O39="否",L39="P38"),"P38风险",IF(O39="否","建议优化","待检查")))))))</f>
        <v>待检查</v>
      </c>
      <c r="S39" s="27" t="s">
        <v>458</v>
      </c>
      <c r="T39" s="27" t="s">
        <v>127</v>
      </c>
      <c r="U39" s="27" t="s">
        <v>127</v>
      </c>
      <c r="V39" s="28" t="s">
        <v>201</v>
      </c>
    </row>
    <row r="40" ht="79.2" customHeight="1" spans="1:22">
      <c r="A40" s="27">
        <v>39</v>
      </c>
      <c r="B40" s="27" t="s">
        <v>60</v>
      </c>
      <c r="C40" s="27" t="s">
        <v>441</v>
      </c>
      <c r="D40" s="27" t="s">
        <v>459</v>
      </c>
      <c r="E40" s="27" t="s">
        <v>460</v>
      </c>
      <c r="F40" s="27" t="s">
        <v>461</v>
      </c>
      <c r="G40" s="27" t="s">
        <v>462</v>
      </c>
      <c r="H40" s="27" t="s">
        <v>463</v>
      </c>
      <c r="I40" s="27" t="s">
        <v>464</v>
      </c>
      <c r="J40" s="27" t="s">
        <v>465</v>
      </c>
      <c r="K40" s="27" t="s">
        <v>466</v>
      </c>
      <c r="L40" s="27" t="s">
        <v>17</v>
      </c>
      <c r="M40" s="27" t="s">
        <v>162</v>
      </c>
      <c r="N40" s="27" t="s">
        <v>126</v>
      </c>
      <c r="O40" s="27" t="s">
        <v>127</v>
      </c>
      <c r="P40" s="27" t="s">
        <v>127</v>
      </c>
      <c r="Q40" s="27" t="s">
        <v>127</v>
      </c>
      <c r="R40" s="27" t="str">
        <f>IF(N40="否","不适用",IF(N40&lt;&gt;"是","待判断",IF(AND(O40="是",P40="是"),"通过",IF(O40="部分","待补充",IF(AND(O40="否",L40="P0"),"P0阻塞",IF(AND(O40="否",L40="P39"),"P39风险",IF(O40="否","建议优化","待检查")))))))</f>
        <v>待检查</v>
      </c>
      <c r="S40" s="27" t="s">
        <v>467</v>
      </c>
      <c r="T40" s="27" t="s">
        <v>127</v>
      </c>
      <c r="U40" s="27" t="s">
        <v>127</v>
      </c>
      <c r="V40" s="28" t="s">
        <v>201</v>
      </c>
    </row>
    <row r="41" ht="24" customHeight="1" spans="1:22">
      <c r="A41" s="27">
        <v>40</v>
      </c>
      <c r="B41" s="27" t="s">
        <v>60</v>
      </c>
      <c r="C41" s="27" t="s">
        <v>441</v>
      </c>
      <c r="D41" s="27" t="s">
        <v>468</v>
      </c>
      <c r="E41" s="27" t="s">
        <v>469</v>
      </c>
      <c r="F41" s="27" t="s">
        <v>470</v>
      </c>
      <c r="G41" s="27" t="s">
        <v>471</v>
      </c>
      <c r="H41" s="27" t="s">
        <v>472</v>
      </c>
      <c r="I41" s="27" t="s">
        <v>473</v>
      </c>
      <c r="J41" s="27" t="s">
        <v>474</v>
      </c>
      <c r="K41" s="27" t="s">
        <v>475</v>
      </c>
      <c r="L41" s="27" t="s">
        <v>17</v>
      </c>
      <c r="M41" s="27" t="s">
        <v>162</v>
      </c>
      <c r="N41" s="27" t="s">
        <v>126</v>
      </c>
      <c r="O41" s="27" t="s">
        <v>127</v>
      </c>
      <c r="P41" s="27" t="s">
        <v>127</v>
      </c>
      <c r="Q41" s="27" t="s">
        <v>127</v>
      </c>
      <c r="R41" s="27" t="str">
        <f>IF(N41="否","不适用",IF(N41&lt;&gt;"是","待判断",IF(AND(O41="是",P41="是"),"通过",IF(O41="部分","待补充",IF(AND(O41="否",L41="P0"),"P0阻塞",IF(AND(O41="否",L41="P40"),"P40风险",IF(O41="否","建议优化","待检查")))))))</f>
        <v>待检查</v>
      </c>
      <c r="S41" s="27" t="s">
        <v>476</v>
      </c>
      <c r="T41" s="27" t="s">
        <v>127</v>
      </c>
      <c r="U41" s="27" t="s">
        <v>127</v>
      </c>
      <c r="V41" s="28" t="s">
        <v>127</v>
      </c>
    </row>
    <row r="42" ht="24" customHeight="1" spans="1:22">
      <c r="A42" s="27">
        <v>41</v>
      </c>
      <c r="B42" s="27" t="s">
        <v>60</v>
      </c>
      <c r="C42" s="27" t="s">
        <v>441</v>
      </c>
      <c r="D42" s="27" t="s">
        <v>477</v>
      </c>
      <c r="E42" s="27" t="s">
        <v>478</v>
      </c>
      <c r="F42" s="27" t="s">
        <v>479</v>
      </c>
      <c r="G42" s="27" t="s">
        <v>480</v>
      </c>
      <c r="H42" s="27" t="s">
        <v>481</v>
      </c>
      <c r="I42" s="27" t="s">
        <v>482</v>
      </c>
      <c r="J42" s="27" t="s">
        <v>483</v>
      </c>
      <c r="K42" s="27" t="s">
        <v>484</v>
      </c>
      <c r="L42" s="27" t="s">
        <v>21</v>
      </c>
      <c r="M42" s="27" t="s">
        <v>125</v>
      </c>
      <c r="N42" s="27" t="s">
        <v>126</v>
      </c>
      <c r="O42" s="27" t="s">
        <v>127</v>
      </c>
      <c r="P42" s="27" t="s">
        <v>127</v>
      </c>
      <c r="Q42" s="27" t="s">
        <v>127</v>
      </c>
      <c r="R42" s="27" t="str">
        <f>IF(N42="否","不适用",IF(N42&lt;&gt;"是","待判断",IF(AND(O42="是",P42="是"),"通过",IF(O42="部分","待补充",IF(AND(O42="否",L42="P0"),"P0阻塞",IF(AND(O42="否",L42="P41"),"P41风险",IF(O42="否","建议优化","待检查")))))))</f>
        <v>待检查</v>
      </c>
      <c r="S42" s="27" t="s">
        <v>485</v>
      </c>
      <c r="T42" s="27" t="s">
        <v>127</v>
      </c>
      <c r="U42" s="27" t="s">
        <v>127</v>
      </c>
      <c r="V42" s="28" t="s">
        <v>127</v>
      </c>
    </row>
    <row r="43" ht="24" customHeight="1" spans="1:22">
      <c r="A43" s="27">
        <v>42</v>
      </c>
      <c r="B43" s="27" t="s">
        <v>60</v>
      </c>
      <c r="C43" s="27" t="s">
        <v>441</v>
      </c>
      <c r="D43" s="27" t="s">
        <v>486</v>
      </c>
      <c r="E43" s="27" t="s">
        <v>487</v>
      </c>
      <c r="F43" s="27" t="s">
        <v>488</v>
      </c>
      <c r="G43" s="27" t="s">
        <v>489</v>
      </c>
      <c r="H43" s="27" t="s">
        <v>490</v>
      </c>
      <c r="I43" s="27" t="s">
        <v>491</v>
      </c>
      <c r="J43" s="27" t="s">
        <v>272</v>
      </c>
      <c r="K43" s="27" t="s">
        <v>492</v>
      </c>
      <c r="L43" s="27" t="s">
        <v>21</v>
      </c>
      <c r="M43" s="27" t="s">
        <v>162</v>
      </c>
      <c r="N43" s="27" t="s">
        <v>126</v>
      </c>
      <c r="O43" s="27" t="s">
        <v>127</v>
      </c>
      <c r="P43" s="27" t="s">
        <v>127</v>
      </c>
      <c r="Q43" s="27" t="s">
        <v>127</v>
      </c>
      <c r="R43" s="27" t="str">
        <f>IF(N43="否","不适用",IF(N43&lt;&gt;"是","待判断",IF(AND(O43="是",P43="是"),"通过",IF(O43="部分","待补充",IF(AND(O43="否",L43="P0"),"P0阻塞",IF(AND(O43="否",L43="P42"),"P42风险",IF(O43="否","建议优化","待检查")))))))</f>
        <v>待检查</v>
      </c>
      <c r="S43" s="27" t="s">
        <v>493</v>
      </c>
      <c r="T43" s="27" t="s">
        <v>127</v>
      </c>
      <c r="U43" s="27" t="s">
        <v>127</v>
      </c>
      <c r="V43" s="28" t="s">
        <v>127</v>
      </c>
    </row>
    <row r="44" ht="79.2" customHeight="1" spans="1:22">
      <c r="A44" s="27">
        <v>43</v>
      </c>
      <c r="B44" s="27" t="s">
        <v>60</v>
      </c>
      <c r="C44" s="27" t="s">
        <v>494</v>
      </c>
      <c r="D44" s="27" t="s">
        <v>495</v>
      </c>
      <c r="E44" s="27" t="s">
        <v>496</v>
      </c>
      <c r="F44" s="27" t="s">
        <v>497</v>
      </c>
      <c r="G44" s="27" t="s">
        <v>498</v>
      </c>
      <c r="H44" s="27" t="s">
        <v>499</v>
      </c>
      <c r="I44" s="27" t="s">
        <v>500</v>
      </c>
      <c r="J44" s="27" t="s">
        <v>501</v>
      </c>
      <c r="K44" s="27" t="s">
        <v>502</v>
      </c>
      <c r="L44" s="27" t="s">
        <v>17</v>
      </c>
      <c r="M44" s="27" t="s">
        <v>256</v>
      </c>
      <c r="N44" s="27" t="s">
        <v>126</v>
      </c>
      <c r="O44" s="27" t="s">
        <v>127</v>
      </c>
      <c r="P44" s="27" t="s">
        <v>127</v>
      </c>
      <c r="Q44" s="27" t="s">
        <v>127</v>
      </c>
      <c r="R44" s="27" t="str">
        <f>IF(N44="否","不适用",IF(N44&lt;&gt;"是","待判断",IF(AND(O44="是",P44="是"),"通过",IF(O44="部分","待补充",IF(AND(O44="否",L44="P0"),"P0阻塞",IF(AND(O44="否",L44="P43"),"P43风险",IF(O44="否","建议优化","待检查")))))))</f>
        <v>待检查</v>
      </c>
      <c r="S44" s="27" t="s">
        <v>503</v>
      </c>
      <c r="T44" s="27" t="s">
        <v>127</v>
      </c>
      <c r="U44" s="27" t="s">
        <v>127</v>
      </c>
      <c r="V44" s="28" t="s">
        <v>201</v>
      </c>
    </row>
    <row r="45" ht="24" customHeight="1" spans="1:22">
      <c r="A45" s="27">
        <v>44</v>
      </c>
      <c r="B45" s="27" t="s">
        <v>60</v>
      </c>
      <c r="C45" s="27" t="s">
        <v>494</v>
      </c>
      <c r="D45" s="27" t="s">
        <v>504</v>
      </c>
      <c r="E45" s="27" t="s">
        <v>505</v>
      </c>
      <c r="F45" s="27" t="s">
        <v>506</v>
      </c>
      <c r="G45" s="27" t="s">
        <v>507</v>
      </c>
      <c r="H45" s="27" t="s">
        <v>508</v>
      </c>
      <c r="I45" s="27" t="s">
        <v>509</v>
      </c>
      <c r="J45" s="27" t="s">
        <v>510</v>
      </c>
      <c r="K45" s="27" t="s">
        <v>511</v>
      </c>
      <c r="L45" s="27" t="s">
        <v>17</v>
      </c>
      <c r="M45" s="27" t="s">
        <v>162</v>
      </c>
      <c r="N45" s="27" t="s">
        <v>126</v>
      </c>
      <c r="O45" s="27" t="s">
        <v>127</v>
      </c>
      <c r="P45" s="27" t="s">
        <v>127</v>
      </c>
      <c r="Q45" s="27" t="s">
        <v>127</v>
      </c>
      <c r="R45" s="27" t="str">
        <f>IF(N45="否","不适用",IF(N45&lt;&gt;"是","待判断",IF(AND(O45="是",P45="是"),"通过",IF(O45="部分","待补充",IF(AND(O45="否",L45="P0"),"P0阻塞",IF(AND(O45="否",L45="P44"),"P44风险",IF(O45="否","建议优化","待检查")))))))</f>
        <v>待检查</v>
      </c>
      <c r="S45" s="27" t="s">
        <v>512</v>
      </c>
      <c r="T45" s="27" t="s">
        <v>127</v>
      </c>
      <c r="U45" s="27" t="s">
        <v>127</v>
      </c>
      <c r="V45" s="28" t="s">
        <v>127</v>
      </c>
    </row>
    <row r="46" ht="24" customHeight="1" spans="1:22">
      <c r="A46" s="27">
        <v>45</v>
      </c>
      <c r="B46" s="27" t="s">
        <v>60</v>
      </c>
      <c r="C46" s="27" t="s">
        <v>494</v>
      </c>
      <c r="D46" s="27" t="s">
        <v>513</v>
      </c>
      <c r="E46" s="27" t="s">
        <v>514</v>
      </c>
      <c r="F46" s="27" t="s">
        <v>515</v>
      </c>
      <c r="G46" s="27" t="s">
        <v>516</v>
      </c>
      <c r="H46" s="27" t="s">
        <v>517</v>
      </c>
      <c r="I46" s="27" t="s">
        <v>518</v>
      </c>
      <c r="J46" s="27" t="s">
        <v>519</v>
      </c>
      <c r="K46" s="27" t="s">
        <v>255</v>
      </c>
      <c r="L46" s="27" t="s">
        <v>17</v>
      </c>
      <c r="M46" s="27" t="s">
        <v>256</v>
      </c>
      <c r="N46" s="27" t="s">
        <v>126</v>
      </c>
      <c r="O46" s="27" t="s">
        <v>127</v>
      </c>
      <c r="P46" s="27" t="s">
        <v>127</v>
      </c>
      <c r="Q46" s="27" t="s">
        <v>127</v>
      </c>
      <c r="R46" s="27" t="str">
        <f>IF(N46="否","不适用",IF(N46&lt;&gt;"是","待判断",IF(AND(O46="是",P46="是"),"通过",IF(O46="部分","待补充",IF(AND(O46="否",L46="P0"),"P0阻塞",IF(AND(O46="否",L46="P45"),"P45风险",IF(O46="否","建议优化","待检查")))))))</f>
        <v>待检查</v>
      </c>
      <c r="S46" s="27" t="s">
        <v>520</v>
      </c>
      <c r="T46" s="27" t="s">
        <v>127</v>
      </c>
      <c r="U46" s="27" t="s">
        <v>127</v>
      </c>
      <c r="V46" s="28" t="s">
        <v>127</v>
      </c>
    </row>
    <row r="47" ht="24" customHeight="1" spans="1:22">
      <c r="A47" s="27">
        <v>46</v>
      </c>
      <c r="B47" s="27" t="s">
        <v>60</v>
      </c>
      <c r="C47" s="27" t="s">
        <v>494</v>
      </c>
      <c r="D47" s="27" t="s">
        <v>521</v>
      </c>
      <c r="E47" s="27" t="s">
        <v>522</v>
      </c>
      <c r="F47" s="27" t="s">
        <v>523</v>
      </c>
      <c r="G47" s="27" t="s">
        <v>524</v>
      </c>
      <c r="H47" s="27" t="s">
        <v>525</v>
      </c>
      <c r="I47" s="27" t="s">
        <v>526</v>
      </c>
      <c r="J47" s="27" t="s">
        <v>254</v>
      </c>
      <c r="K47" s="27" t="s">
        <v>527</v>
      </c>
      <c r="L47" s="27" t="s">
        <v>17</v>
      </c>
      <c r="M47" s="27" t="s">
        <v>162</v>
      </c>
      <c r="N47" s="27" t="s">
        <v>126</v>
      </c>
      <c r="O47" s="27" t="s">
        <v>127</v>
      </c>
      <c r="P47" s="27" t="s">
        <v>127</v>
      </c>
      <c r="Q47" s="27" t="s">
        <v>127</v>
      </c>
      <c r="R47" s="27" t="str">
        <f>IF(N47="否","不适用",IF(N47&lt;&gt;"是","待判断",IF(AND(O47="是",P47="是"),"通过",IF(O47="部分","待补充",IF(AND(O47="否",L47="P0"),"P0阻塞",IF(AND(O47="否",L47="P46"),"P46风险",IF(O47="否","建议优化","待检查")))))))</f>
        <v>待检查</v>
      </c>
      <c r="S47" s="27" t="s">
        <v>528</v>
      </c>
      <c r="T47" s="27" t="s">
        <v>127</v>
      </c>
      <c r="U47" s="27" t="s">
        <v>127</v>
      </c>
      <c r="V47" s="28" t="s">
        <v>127</v>
      </c>
    </row>
    <row r="48" ht="79.2" customHeight="1" spans="1:22">
      <c r="A48" s="27">
        <v>47</v>
      </c>
      <c r="B48" s="27" t="s">
        <v>60</v>
      </c>
      <c r="C48" s="27" t="s">
        <v>494</v>
      </c>
      <c r="D48" s="27" t="s">
        <v>529</v>
      </c>
      <c r="E48" s="27" t="s">
        <v>530</v>
      </c>
      <c r="F48" s="27" t="s">
        <v>531</v>
      </c>
      <c r="G48" s="27" t="s">
        <v>532</v>
      </c>
      <c r="H48" s="27" t="s">
        <v>533</v>
      </c>
      <c r="I48" s="27" t="s">
        <v>534</v>
      </c>
      <c r="J48" s="27" t="s">
        <v>535</v>
      </c>
      <c r="K48" s="27" t="s">
        <v>536</v>
      </c>
      <c r="L48" s="27" t="s">
        <v>21</v>
      </c>
      <c r="M48" s="27" t="s">
        <v>256</v>
      </c>
      <c r="N48" s="27" t="s">
        <v>126</v>
      </c>
      <c r="O48" s="27" t="s">
        <v>127</v>
      </c>
      <c r="P48" s="27" t="s">
        <v>127</v>
      </c>
      <c r="Q48" s="27" t="s">
        <v>127</v>
      </c>
      <c r="R48" s="27" t="str">
        <f>IF(N48="否","不适用",IF(N48&lt;&gt;"是","待判断",IF(AND(O48="是",P48="是"),"通过",IF(O48="部分","待补充",IF(AND(O48="否",L48="P0"),"P0阻塞",IF(AND(O48="否",L48="P47"),"P47风险",IF(O48="否","建议优化","待检查")))))))</f>
        <v>待检查</v>
      </c>
      <c r="S48" s="27" t="s">
        <v>537</v>
      </c>
      <c r="T48" s="27" t="s">
        <v>127</v>
      </c>
      <c r="U48" s="27" t="s">
        <v>127</v>
      </c>
      <c r="V48" s="28" t="s">
        <v>201</v>
      </c>
    </row>
    <row r="49" ht="24" customHeight="1" spans="1:22">
      <c r="A49" s="27">
        <v>48</v>
      </c>
      <c r="B49" s="27" t="s">
        <v>60</v>
      </c>
      <c r="C49" s="27" t="s">
        <v>494</v>
      </c>
      <c r="D49" s="27" t="s">
        <v>538</v>
      </c>
      <c r="E49" s="27" t="s">
        <v>539</v>
      </c>
      <c r="F49" s="27" t="s">
        <v>540</v>
      </c>
      <c r="G49" s="27" t="s">
        <v>541</v>
      </c>
      <c r="H49" s="27" t="s">
        <v>542</v>
      </c>
      <c r="I49" s="27" t="s">
        <v>543</v>
      </c>
      <c r="J49" s="27" t="s">
        <v>544</v>
      </c>
      <c r="K49" s="27" t="s">
        <v>545</v>
      </c>
      <c r="L49" s="27" t="s">
        <v>25</v>
      </c>
      <c r="M49" s="27" t="s">
        <v>256</v>
      </c>
      <c r="N49" s="27" t="s">
        <v>126</v>
      </c>
      <c r="O49" s="27" t="s">
        <v>127</v>
      </c>
      <c r="P49" s="27" t="s">
        <v>127</v>
      </c>
      <c r="Q49" s="27" t="s">
        <v>127</v>
      </c>
      <c r="R49" s="27" t="str">
        <f>IF(N49="否","不适用",IF(N49&lt;&gt;"是","待判断",IF(AND(O49="是",P49="是"),"通过",IF(O49="部分","待补充",IF(AND(O49="否",L49="P0"),"P0阻塞",IF(AND(O49="否",L49="P48"),"P48风险",IF(O49="否","建议优化","待检查")))))))</f>
        <v>待检查</v>
      </c>
      <c r="S49" s="27" t="s">
        <v>546</v>
      </c>
      <c r="T49" s="27" t="s">
        <v>127</v>
      </c>
      <c r="U49" s="27" t="s">
        <v>127</v>
      </c>
      <c r="V49" s="28" t="s">
        <v>127</v>
      </c>
    </row>
    <row r="50" ht="79.2" customHeight="1" spans="1:22">
      <c r="A50" s="27">
        <v>49</v>
      </c>
      <c r="B50" s="27" t="s">
        <v>60</v>
      </c>
      <c r="C50" s="27" t="s">
        <v>547</v>
      </c>
      <c r="D50" s="27" t="s">
        <v>548</v>
      </c>
      <c r="E50" s="27" t="s">
        <v>549</v>
      </c>
      <c r="F50" s="27" t="s">
        <v>550</v>
      </c>
      <c r="G50" s="27" t="s">
        <v>551</v>
      </c>
      <c r="H50" s="27" t="s">
        <v>552</v>
      </c>
      <c r="I50" s="27" t="s">
        <v>553</v>
      </c>
      <c r="J50" s="27" t="s">
        <v>554</v>
      </c>
      <c r="K50" s="27" t="s">
        <v>555</v>
      </c>
      <c r="L50" s="27" t="s">
        <v>17</v>
      </c>
      <c r="M50" s="27" t="s">
        <v>162</v>
      </c>
      <c r="N50" s="27" t="s">
        <v>126</v>
      </c>
      <c r="O50" s="27" t="s">
        <v>127</v>
      </c>
      <c r="P50" s="27" t="s">
        <v>127</v>
      </c>
      <c r="Q50" s="27" t="s">
        <v>127</v>
      </c>
      <c r="R50" s="27" t="str">
        <f>IF(N50="否","不适用",IF(N50&lt;&gt;"是","待判断",IF(AND(O50="是",P50="是"),"通过",IF(O50="部分","待补充",IF(AND(O50="否",L50="P0"),"P0阻塞",IF(AND(O50="否",L50="P49"),"P49风险",IF(O50="否","建议优化","待检查")))))))</f>
        <v>待检查</v>
      </c>
      <c r="S50" s="27" t="s">
        <v>556</v>
      </c>
      <c r="T50" s="27" t="s">
        <v>127</v>
      </c>
      <c r="U50" s="27" t="s">
        <v>127</v>
      </c>
      <c r="V50" s="28" t="s">
        <v>201</v>
      </c>
    </row>
    <row r="51" ht="24" customHeight="1" spans="1:22">
      <c r="A51" s="27">
        <v>50</v>
      </c>
      <c r="B51" s="27" t="s">
        <v>60</v>
      </c>
      <c r="C51" s="27" t="s">
        <v>547</v>
      </c>
      <c r="D51" s="27" t="s">
        <v>557</v>
      </c>
      <c r="E51" s="27" t="s">
        <v>558</v>
      </c>
      <c r="F51" s="27" t="s">
        <v>559</v>
      </c>
      <c r="G51" s="27" t="s">
        <v>560</v>
      </c>
      <c r="H51" s="27" t="s">
        <v>561</v>
      </c>
      <c r="I51" s="27" t="s">
        <v>562</v>
      </c>
      <c r="J51" s="27" t="s">
        <v>563</v>
      </c>
      <c r="K51" s="27" t="s">
        <v>564</v>
      </c>
      <c r="L51" s="27" t="s">
        <v>17</v>
      </c>
      <c r="M51" s="27" t="s">
        <v>256</v>
      </c>
      <c r="N51" s="27" t="s">
        <v>126</v>
      </c>
      <c r="O51" s="27" t="s">
        <v>127</v>
      </c>
      <c r="P51" s="27" t="s">
        <v>127</v>
      </c>
      <c r="Q51" s="27" t="s">
        <v>127</v>
      </c>
      <c r="R51" s="27" t="str">
        <f>IF(N51="否","不适用",IF(N51&lt;&gt;"是","待判断",IF(AND(O51="是",P51="是"),"通过",IF(O51="部分","待补充",IF(AND(O51="否",L51="P0"),"P0阻塞",IF(AND(O51="否",L51="P50"),"P50风险",IF(O51="否","建议优化","待检查")))))))</f>
        <v>待检查</v>
      </c>
      <c r="S51" s="27" t="s">
        <v>565</v>
      </c>
      <c r="T51" s="27" t="s">
        <v>127</v>
      </c>
      <c r="U51" s="27" t="s">
        <v>127</v>
      </c>
      <c r="V51" s="28" t="s">
        <v>127</v>
      </c>
    </row>
    <row r="52" ht="24" customHeight="1" spans="1:22">
      <c r="A52" s="27">
        <v>51</v>
      </c>
      <c r="B52" s="27" t="s">
        <v>60</v>
      </c>
      <c r="C52" s="27" t="s">
        <v>547</v>
      </c>
      <c r="D52" s="27" t="s">
        <v>566</v>
      </c>
      <c r="E52" s="27" t="s">
        <v>567</v>
      </c>
      <c r="F52" s="27" t="s">
        <v>568</v>
      </c>
      <c r="G52" s="27" t="s">
        <v>569</v>
      </c>
      <c r="H52" s="27" t="s">
        <v>570</v>
      </c>
      <c r="I52" s="27" t="s">
        <v>571</v>
      </c>
      <c r="J52" s="27" t="s">
        <v>572</v>
      </c>
      <c r="K52" s="27" t="s">
        <v>573</v>
      </c>
      <c r="L52" s="27" t="s">
        <v>17</v>
      </c>
      <c r="M52" s="27" t="s">
        <v>256</v>
      </c>
      <c r="N52" s="27" t="s">
        <v>126</v>
      </c>
      <c r="O52" s="27" t="s">
        <v>127</v>
      </c>
      <c r="P52" s="27" t="s">
        <v>127</v>
      </c>
      <c r="Q52" s="27" t="s">
        <v>127</v>
      </c>
      <c r="R52" s="27" t="str">
        <f>IF(N52="否","不适用",IF(N52&lt;&gt;"是","待判断",IF(AND(O52="是",P52="是"),"通过",IF(O52="部分","待补充",IF(AND(O52="否",L52="P0"),"P0阻塞",IF(AND(O52="否",L52="P51"),"P51风险",IF(O52="否","建议优化","待检查")))))))</f>
        <v>待检查</v>
      </c>
      <c r="S52" s="27" t="s">
        <v>574</v>
      </c>
      <c r="T52" s="27" t="s">
        <v>127</v>
      </c>
      <c r="U52" s="27" t="s">
        <v>127</v>
      </c>
      <c r="V52" s="28" t="s">
        <v>127</v>
      </c>
    </row>
    <row r="53" ht="24" customHeight="1" spans="1:22">
      <c r="A53" s="27">
        <v>52</v>
      </c>
      <c r="B53" s="27" t="s">
        <v>60</v>
      </c>
      <c r="C53" s="27" t="s">
        <v>547</v>
      </c>
      <c r="D53" s="27" t="s">
        <v>575</v>
      </c>
      <c r="E53" s="27" t="s">
        <v>576</v>
      </c>
      <c r="F53" s="27" t="s">
        <v>577</v>
      </c>
      <c r="G53" s="27" t="s">
        <v>578</v>
      </c>
      <c r="H53" s="27" t="s">
        <v>579</v>
      </c>
      <c r="I53" s="27" t="s">
        <v>580</v>
      </c>
      <c r="J53" s="27" t="s">
        <v>581</v>
      </c>
      <c r="K53" s="27" t="s">
        <v>582</v>
      </c>
      <c r="L53" s="27" t="s">
        <v>17</v>
      </c>
      <c r="M53" s="27" t="s">
        <v>256</v>
      </c>
      <c r="N53" s="27" t="s">
        <v>126</v>
      </c>
      <c r="O53" s="27" t="s">
        <v>127</v>
      </c>
      <c r="P53" s="27" t="s">
        <v>127</v>
      </c>
      <c r="Q53" s="27" t="s">
        <v>127</v>
      </c>
      <c r="R53" s="27" t="str">
        <f>IF(N53="否","不适用",IF(N53&lt;&gt;"是","待判断",IF(AND(O53="是",P53="是"),"通过",IF(O53="部分","待补充",IF(AND(O53="否",L53="P0"),"P0阻塞",IF(AND(O53="否",L53="P52"),"P52风险",IF(O53="否","建议优化","待检查")))))))</f>
        <v>待检查</v>
      </c>
      <c r="S53" s="27" t="s">
        <v>583</v>
      </c>
      <c r="T53" s="27" t="s">
        <v>127</v>
      </c>
      <c r="U53" s="27" t="s">
        <v>127</v>
      </c>
      <c r="V53" s="28" t="s">
        <v>127</v>
      </c>
    </row>
    <row r="54" ht="24" customHeight="1" spans="1:22">
      <c r="A54" s="27">
        <v>53</v>
      </c>
      <c r="B54" s="27" t="s">
        <v>60</v>
      </c>
      <c r="C54" s="27" t="s">
        <v>238</v>
      </c>
      <c r="D54" s="27" t="s">
        <v>584</v>
      </c>
      <c r="E54" s="27" t="s">
        <v>585</v>
      </c>
      <c r="F54" s="27" t="s">
        <v>119</v>
      </c>
      <c r="G54" s="27" t="s">
        <v>586</v>
      </c>
      <c r="H54" s="27" t="s">
        <v>587</v>
      </c>
      <c r="I54" s="27" t="s">
        <v>588</v>
      </c>
      <c r="J54" s="27" t="s">
        <v>589</v>
      </c>
      <c r="K54" s="27" t="s">
        <v>590</v>
      </c>
      <c r="L54" s="27" t="s">
        <v>21</v>
      </c>
      <c r="M54" s="27" t="s">
        <v>125</v>
      </c>
      <c r="N54" s="27" t="s">
        <v>126</v>
      </c>
      <c r="O54" s="27" t="s">
        <v>127</v>
      </c>
      <c r="P54" s="27" t="s">
        <v>127</v>
      </c>
      <c r="Q54" s="27" t="s">
        <v>127</v>
      </c>
      <c r="R54" s="27" t="str">
        <f>IF(N54="否","不适用",IF(N54&lt;&gt;"是","待判断",IF(AND(O54="是",P54="是"),"通过",IF(O54="部分","待补充",IF(AND(O54="否",L54="P0"),"P0阻塞",IF(AND(O54="否",L54="P53"),"P53风险",IF(O54="否","建议优化","待检查")))))))</f>
        <v>待检查</v>
      </c>
      <c r="S54" s="27" t="s">
        <v>591</v>
      </c>
      <c r="T54" s="27" t="s">
        <v>127</v>
      </c>
      <c r="U54" s="27" t="s">
        <v>127</v>
      </c>
      <c r="V54" s="28" t="s">
        <v>127</v>
      </c>
    </row>
    <row r="55" ht="24" customHeight="1" spans="1:22">
      <c r="A55" s="27">
        <v>54</v>
      </c>
      <c r="B55" s="27" t="s">
        <v>60</v>
      </c>
      <c r="C55" s="27" t="s">
        <v>238</v>
      </c>
      <c r="D55" s="27" t="s">
        <v>592</v>
      </c>
      <c r="E55" s="27" t="s">
        <v>593</v>
      </c>
      <c r="F55" s="27" t="s">
        <v>594</v>
      </c>
      <c r="G55" s="27" t="s">
        <v>595</v>
      </c>
      <c r="H55" s="27" t="s">
        <v>596</v>
      </c>
      <c r="I55" s="27" t="s">
        <v>597</v>
      </c>
      <c r="J55" s="27" t="s">
        <v>598</v>
      </c>
      <c r="K55" s="27" t="s">
        <v>599</v>
      </c>
      <c r="L55" s="27" t="s">
        <v>17</v>
      </c>
      <c r="M55" s="27" t="s">
        <v>256</v>
      </c>
      <c r="N55" s="27" t="s">
        <v>126</v>
      </c>
      <c r="O55" s="27" t="s">
        <v>127</v>
      </c>
      <c r="P55" s="27" t="s">
        <v>127</v>
      </c>
      <c r="Q55" s="27" t="s">
        <v>127</v>
      </c>
      <c r="R55" s="27" t="str">
        <f>IF(N55="否","不适用",IF(N55&lt;&gt;"是","待判断",IF(AND(O55="是",P55="是"),"通过",IF(O55="部分","待补充",IF(AND(O55="否",L55="P0"),"P0阻塞",IF(AND(O55="否",L55="P54"),"P54风险",IF(O55="否","建议优化","待检查")))))))</f>
        <v>待检查</v>
      </c>
      <c r="S55" s="27" t="s">
        <v>600</v>
      </c>
      <c r="T55" s="27" t="s">
        <v>127</v>
      </c>
      <c r="U55" s="27" t="s">
        <v>127</v>
      </c>
      <c r="V55" s="28" t="s">
        <v>127</v>
      </c>
    </row>
    <row r="56" ht="24" customHeight="1" spans="1:22">
      <c r="A56" s="27">
        <v>55</v>
      </c>
      <c r="B56" s="27" t="s">
        <v>60</v>
      </c>
      <c r="C56" s="27" t="s">
        <v>238</v>
      </c>
      <c r="D56" s="27" t="s">
        <v>601</v>
      </c>
      <c r="E56" s="27" t="s">
        <v>602</v>
      </c>
      <c r="F56" s="27" t="s">
        <v>603</v>
      </c>
      <c r="G56" s="27" t="s">
        <v>604</v>
      </c>
      <c r="H56" s="27" t="s">
        <v>605</v>
      </c>
      <c r="I56" s="27" t="s">
        <v>606</v>
      </c>
      <c r="J56" s="27" t="s">
        <v>607</v>
      </c>
      <c r="K56" s="27" t="s">
        <v>608</v>
      </c>
      <c r="L56" s="27" t="s">
        <v>17</v>
      </c>
      <c r="M56" s="27" t="s">
        <v>125</v>
      </c>
      <c r="N56" s="27" t="s">
        <v>126</v>
      </c>
      <c r="O56" s="27" t="s">
        <v>127</v>
      </c>
      <c r="P56" s="27" t="s">
        <v>127</v>
      </c>
      <c r="Q56" s="27" t="s">
        <v>127</v>
      </c>
      <c r="R56" s="27" t="str">
        <f>IF(N56="否","不适用",IF(N56&lt;&gt;"是","待判断",IF(AND(O56="是",P56="是"),"通过",IF(O56="部分","待补充",IF(AND(O56="否",L56="P0"),"P0阻塞",IF(AND(O56="否",L56="P55"),"P55风险",IF(O56="否","建议优化","待检查")))))))</f>
        <v>待检查</v>
      </c>
      <c r="S56" s="27" t="s">
        <v>609</v>
      </c>
      <c r="T56" s="27" t="s">
        <v>127</v>
      </c>
      <c r="U56" s="27" t="s">
        <v>127</v>
      </c>
      <c r="V56" s="28" t="s">
        <v>127</v>
      </c>
    </row>
    <row r="57" ht="79.2" customHeight="1" spans="1:22">
      <c r="A57" s="27">
        <v>56</v>
      </c>
      <c r="B57" s="27" t="s">
        <v>60</v>
      </c>
      <c r="C57" s="27" t="s">
        <v>610</v>
      </c>
      <c r="D57" s="27" t="s">
        <v>611</v>
      </c>
      <c r="E57" s="27" t="s">
        <v>612</v>
      </c>
      <c r="F57" s="27" t="s">
        <v>613</v>
      </c>
      <c r="G57" s="27" t="s">
        <v>614</v>
      </c>
      <c r="H57" s="27" t="s">
        <v>615</v>
      </c>
      <c r="I57" s="27" t="s">
        <v>616</v>
      </c>
      <c r="J57" s="27" t="s">
        <v>617</v>
      </c>
      <c r="K57" s="27" t="s">
        <v>618</v>
      </c>
      <c r="L57" s="27" t="s">
        <v>13</v>
      </c>
      <c r="M57" s="27" t="s">
        <v>162</v>
      </c>
      <c r="N57" s="27" t="s">
        <v>126</v>
      </c>
      <c r="O57" s="27" t="s">
        <v>127</v>
      </c>
      <c r="P57" s="27" t="s">
        <v>127</v>
      </c>
      <c r="Q57" s="27" t="s">
        <v>127</v>
      </c>
      <c r="R57" s="27" t="str">
        <f>IF(N57="否","不适用",IF(N57&lt;&gt;"是","待判断",IF(AND(O57="是",P57="是"),"通过",IF(O57="部分","待补充",IF(AND(O57="否",L57="P0"),"P0阻塞",IF(AND(O57="否",L57="P56"),"P56风险",IF(O57="否","建议优化","待检查")))))))</f>
        <v>待检查</v>
      </c>
      <c r="S57" s="27" t="s">
        <v>619</v>
      </c>
      <c r="T57" s="27" t="s">
        <v>127</v>
      </c>
      <c r="U57" s="27" t="s">
        <v>127</v>
      </c>
      <c r="V57" s="28" t="s">
        <v>201</v>
      </c>
    </row>
    <row r="58" ht="79.2" customHeight="1" spans="1:22">
      <c r="A58" s="27">
        <v>57</v>
      </c>
      <c r="B58" s="27" t="s">
        <v>60</v>
      </c>
      <c r="C58" s="27" t="s">
        <v>610</v>
      </c>
      <c r="D58" s="27" t="s">
        <v>620</v>
      </c>
      <c r="E58" s="27" t="s">
        <v>621</v>
      </c>
      <c r="F58" s="27" t="s">
        <v>622</v>
      </c>
      <c r="G58" s="27" t="s">
        <v>623</v>
      </c>
      <c r="H58" s="27" t="s">
        <v>624</v>
      </c>
      <c r="I58" s="27" t="s">
        <v>625</v>
      </c>
      <c r="J58" s="27" t="s">
        <v>263</v>
      </c>
      <c r="K58" s="27" t="s">
        <v>626</v>
      </c>
      <c r="L58" s="27" t="s">
        <v>13</v>
      </c>
      <c r="M58" s="27" t="s">
        <v>162</v>
      </c>
      <c r="N58" s="27" t="s">
        <v>126</v>
      </c>
      <c r="O58" s="27" t="s">
        <v>127</v>
      </c>
      <c r="P58" s="27" t="s">
        <v>127</v>
      </c>
      <c r="Q58" s="27" t="s">
        <v>127</v>
      </c>
      <c r="R58" s="27" t="str">
        <f>IF(N58="否","不适用",IF(N58&lt;&gt;"是","待判断",IF(AND(O58="是",P58="是"),"通过",IF(O58="部分","待补充",IF(AND(O58="否",L58="P0"),"P0阻塞",IF(AND(O58="否",L58="P57"),"P57风险",IF(O58="否","建议优化","待检查")))))))</f>
        <v>待检查</v>
      </c>
      <c r="S58" s="27" t="s">
        <v>627</v>
      </c>
      <c r="T58" s="27" t="s">
        <v>127</v>
      </c>
      <c r="U58" s="27" t="s">
        <v>127</v>
      </c>
      <c r="V58" s="28" t="s">
        <v>201</v>
      </c>
    </row>
    <row r="59" ht="24" customHeight="1" spans="1:22">
      <c r="A59" s="27">
        <v>58</v>
      </c>
      <c r="B59" s="27" t="s">
        <v>60</v>
      </c>
      <c r="C59" s="27" t="s">
        <v>610</v>
      </c>
      <c r="D59" s="27" t="s">
        <v>628</v>
      </c>
      <c r="E59" s="27" t="s">
        <v>629</v>
      </c>
      <c r="F59" s="27" t="s">
        <v>630</v>
      </c>
      <c r="G59" s="27" t="s">
        <v>631</v>
      </c>
      <c r="H59" s="27" t="s">
        <v>632</v>
      </c>
      <c r="I59" s="27" t="s">
        <v>633</v>
      </c>
      <c r="J59" s="27" t="s">
        <v>263</v>
      </c>
      <c r="K59" s="27" t="s">
        <v>634</v>
      </c>
      <c r="L59" s="27" t="s">
        <v>17</v>
      </c>
      <c r="M59" s="27" t="s">
        <v>162</v>
      </c>
      <c r="N59" s="27" t="s">
        <v>126</v>
      </c>
      <c r="O59" s="27" t="s">
        <v>127</v>
      </c>
      <c r="P59" s="27" t="s">
        <v>127</v>
      </c>
      <c r="Q59" s="27" t="s">
        <v>127</v>
      </c>
      <c r="R59" s="27" t="str">
        <f>IF(N59="否","不适用",IF(N59&lt;&gt;"是","待判断",IF(AND(O59="是",P59="是"),"通过",IF(O59="部分","待补充",IF(AND(O59="否",L59="P0"),"P0阻塞",IF(AND(O59="否",L59="P58"),"P58风险",IF(O59="否","建议优化","待检查")))))))</f>
        <v>待检查</v>
      </c>
      <c r="S59" s="27" t="s">
        <v>635</v>
      </c>
      <c r="T59" s="27" t="s">
        <v>127</v>
      </c>
      <c r="U59" s="27" t="s">
        <v>127</v>
      </c>
      <c r="V59" s="28" t="s">
        <v>127</v>
      </c>
    </row>
    <row r="60" ht="24" customHeight="1" spans="1:22">
      <c r="A60" s="27">
        <v>59</v>
      </c>
      <c r="B60" s="27" t="s">
        <v>60</v>
      </c>
      <c r="C60" s="27" t="s">
        <v>610</v>
      </c>
      <c r="D60" s="27" t="s">
        <v>636</v>
      </c>
      <c r="E60" s="27" t="s">
        <v>637</v>
      </c>
      <c r="F60" s="27" t="s">
        <v>638</v>
      </c>
      <c r="G60" s="27" t="s">
        <v>639</v>
      </c>
      <c r="H60" s="27" t="s">
        <v>640</v>
      </c>
      <c r="I60" s="27" t="s">
        <v>641</v>
      </c>
      <c r="J60" s="27" t="s">
        <v>263</v>
      </c>
      <c r="K60" s="27" t="s">
        <v>642</v>
      </c>
      <c r="L60" s="27" t="s">
        <v>17</v>
      </c>
      <c r="M60" s="27" t="s">
        <v>256</v>
      </c>
      <c r="N60" s="27" t="s">
        <v>126</v>
      </c>
      <c r="O60" s="27" t="s">
        <v>127</v>
      </c>
      <c r="P60" s="27" t="s">
        <v>127</v>
      </c>
      <c r="Q60" s="27" t="s">
        <v>127</v>
      </c>
      <c r="R60" s="27" t="str">
        <f>IF(N60="否","不适用",IF(N60&lt;&gt;"是","待判断",IF(AND(O60="是",P60="是"),"通过",IF(O60="部分","待补充",IF(AND(O60="否",L60="P0"),"P0阻塞",IF(AND(O60="否",L60="P59"),"P59风险",IF(O60="否","建议优化","待检查")))))))</f>
        <v>待检查</v>
      </c>
      <c r="S60" s="27" t="s">
        <v>643</v>
      </c>
      <c r="T60" s="27" t="s">
        <v>127</v>
      </c>
      <c r="U60" s="27" t="s">
        <v>127</v>
      </c>
      <c r="V60" s="28" t="s">
        <v>127</v>
      </c>
    </row>
    <row r="61" ht="24" customHeight="1" spans="1:22">
      <c r="A61" s="27">
        <v>60</v>
      </c>
      <c r="B61" s="27" t="s">
        <v>60</v>
      </c>
      <c r="C61" s="27" t="s">
        <v>610</v>
      </c>
      <c r="D61" s="27" t="s">
        <v>644</v>
      </c>
      <c r="E61" s="27" t="s">
        <v>645</v>
      </c>
      <c r="F61" s="27" t="s">
        <v>646</v>
      </c>
      <c r="G61" s="27" t="s">
        <v>647</v>
      </c>
      <c r="H61" s="27" t="s">
        <v>648</v>
      </c>
      <c r="I61" s="27" t="s">
        <v>649</v>
      </c>
      <c r="J61" s="27" t="s">
        <v>650</v>
      </c>
      <c r="K61" s="27" t="s">
        <v>651</v>
      </c>
      <c r="L61" s="27" t="s">
        <v>13</v>
      </c>
      <c r="M61" s="27" t="s">
        <v>162</v>
      </c>
      <c r="N61" s="27" t="s">
        <v>126</v>
      </c>
      <c r="O61" s="27" t="s">
        <v>127</v>
      </c>
      <c r="P61" s="27" t="s">
        <v>127</v>
      </c>
      <c r="Q61" s="27" t="s">
        <v>127</v>
      </c>
      <c r="R61" s="27" t="str">
        <f>IF(N61="否","不适用",IF(N61&lt;&gt;"是","待判断",IF(AND(O61="是",P61="是"),"通过",IF(O61="部分","待补充",IF(AND(O61="否",L61="P0"),"P0阻塞",IF(AND(O61="否",L61="P60"),"P60风险",IF(O61="否","建议优化","待检查")))))))</f>
        <v>待检查</v>
      </c>
      <c r="S61" s="27" t="s">
        <v>652</v>
      </c>
      <c r="T61" s="27" t="s">
        <v>127</v>
      </c>
      <c r="U61" s="27" t="s">
        <v>127</v>
      </c>
      <c r="V61" s="28" t="s">
        <v>127</v>
      </c>
    </row>
    <row r="62" ht="24" customHeight="1" spans="1:22">
      <c r="A62" s="27">
        <v>61</v>
      </c>
      <c r="B62" s="27" t="s">
        <v>61</v>
      </c>
      <c r="C62" s="27" t="s">
        <v>653</v>
      </c>
      <c r="D62" s="27" t="s">
        <v>654</v>
      </c>
      <c r="E62" s="27" t="s">
        <v>655</v>
      </c>
      <c r="F62" s="27" t="s">
        <v>603</v>
      </c>
      <c r="G62" s="27" t="s">
        <v>656</v>
      </c>
      <c r="H62" s="27" t="s">
        <v>657</v>
      </c>
      <c r="I62" s="27" t="s">
        <v>658</v>
      </c>
      <c r="J62" s="27" t="s">
        <v>659</v>
      </c>
      <c r="K62" s="27" t="s">
        <v>660</v>
      </c>
      <c r="L62" s="27" t="s">
        <v>21</v>
      </c>
      <c r="M62" s="27" t="s">
        <v>125</v>
      </c>
      <c r="N62" s="27" t="s">
        <v>126</v>
      </c>
      <c r="O62" s="27" t="s">
        <v>127</v>
      </c>
      <c r="P62" s="27" t="s">
        <v>127</v>
      </c>
      <c r="Q62" s="27" t="s">
        <v>127</v>
      </c>
      <c r="R62" s="27" t="str">
        <f>IF(N62="否","不适用",IF(N62&lt;&gt;"是","待判断",IF(AND(O62="是",P62="是"),"通过",IF(O62="部分","待补充",IF(AND(O62="否",L62="P0"),"P0阻塞",IF(AND(O62="否",L62="P61"),"P61风险",IF(O62="否","建议优化","待检查")))))))</f>
        <v>待检查</v>
      </c>
      <c r="S62" s="27" t="s">
        <v>661</v>
      </c>
      <c r="T62" s="27" t="s">
        <v>127</v>
      </c>
      <c r="U62" s="27" t="s">
        <v>127</v>
      </c>
      <c r="V62" s="28" t="s">
        <v>127</v>
      </c>
    </row>
    <row r="63" ht="24" customHeight="1" spans="1:22">
      <c r="A63" s="27">
        <v>62</v>
      </c>
      <c r="B63" s="27" t="s">
        <v>61</v>
      </c>
      <c r="C63" s="27" t="s">
        <v>653</v>
      </c>
      <c r="D63" s="27" t="s">
        <v>662</v>
      </c>
      <c r="E63" s="27" t="s">
        <v>663</v>
      </c>
      <c r="F63" s="27" t="s">
        <v>664</v>
      </c>
      <c r="G63" s="27" t="s">
        <v>665</v>
      </c>
      <c r="H63" s="27" t="s">
        <v>666</v>
      </c>
      <c r="I63" s="27" t="s">
        <v>667</v>
      </c>
      <c r="J63" s="27" t="s">
        <v>659</v>
      </c>
      <c r="K63" s="27" t="s">
        <v>668</v>
      </c>
      <c r="L63" s="27" t="s">
        <v>25</v>
      </c>
      <c r="M63" s="27" t="s">
        <v>125</v>
      </c>
      <c r="N63" s="27" t="s">
        <v>126</v>
      </c>
      <c r="O63" s="27" t="s">
        <v>127</v>
      </c>
      <c r="P63" s="27" t="s">
        <v>127</v>
      </c>
      <c r="Q63" s="27" t="s">
        <v>127</v>
      </c>
      <c r="R63" s="27" t="str">
        <f>IF(N63="否","不适用",IF(N63&lt;&gt;"是","待判断",IF(AND(O63="是",P63="是"),"通过",IF(O63="部分","待补充",IF(AND(O63="否",L63="P0"),"P0阻塞",IF(AND(O63="否",L63="P62"),"P62风险",IF(O63="否","建议优化","待检查")))))))</f>
        <v>待检查</v>
      </c>
      <c r="S63" s="27" t="s">
        <v>669</v>
      </c>
      <c r="T63" s="27" t="s">
        <v>127</v>
      </c>
      <c r="U63" s="27" t="s">
        <v>127</v>
      </c>
      <c r="V63" s="28" t="s">
        <v>127</v>
      </c>
    </row>
    <row r="64" ht="24" customHeight="1" spans="1:22">
      <c r="A64" s="27">
        <v>63</v>
      </c>
      <c r="B64" s="27" t="s">
        <v>61</v>
      </c>
      <c r="C64" s="27" t="s">
        <v>653</v>
      </c>
      <c r="D64" s="27" t="s">
        <v>670</v>
      </c>
      <c r="E64" s="27" t="s">
        <v>671</v>
      </c>
      <c r="F64" s="27" t="s">
        <v>672</v>
      </c>
      <c r="G64" s="27" t="s">
        <v>673</v>
      </c>
      <c r="H64" s="27" t="s">
        <v>674</v>
      </c>
      <c r="I64" s="27" t="s">
        <v>675</v>
      </c>
      <c r="J64" s="27" t="s">
        <v>659</v>
      </c>
      <c r="K64" s="27" t="s">
        <v>676</v>
      </c>
      <c r="L64" s="27" t="s">
        <v>25</v>
      </c>
      <c r="M64" s="27" t="s">
        <v>162</v>
      </c>
      <c r="N64" s="27" t="s">
        <v>126</v>
      </c>
      <c r="O64" s="27" t="s">
        <v>127</v>
      </c>
      <c r="P64" s="27" t="s">
        <v>127</v>
      </c>
      <c r="Q64" s="27" t="s">
        <v>127</v>
      </c>
      <c r="R64" s="27" t="str">
        <f>IF(N64="否","不适用",IF(N64&lt;&gt;"是","待判断",IF(AND(O64="是",P64="是"),"通过",IF(O64="部分","待补充",IF(AND(O64="否",L64="P0"),"P0阻塞",IF(AND(O64="否",L64="P63"),"P63风险",IF(O64="否","建议优化","待检查")))))))</f>
        <v>待检查</v>
      </c>
      <c r="S64" s="27" t="s">
        <v>677</v>
      </c>
      <c r="T64" s="27" t="s">
        <v>127</v>
      </c>
      <c r="U64" s="27" t="s">
        <v>127</v>
      </c>
      <c r="V64" s="28" t="s">
        <v>127</v>
      </c>
    </row>
    <row r="65" ht="24" customHeight="1" spans="1:22">
      <c r="A65" s="27">
        <v>64</v>
      </c>
      <c r="B65" s="27" t="s">
        <v>61</v>
      </c>
      <c r="C65" s="27" t="s">
        <v>653</v>
      </c>
      <c r="D65" s="27" t="s">
        <v>678</v>
      </c>
      <c r="E65" s="27" t="s">
        <v>679</v>
      </c>
      <c r="F65" s="27" t="s">
        <v>680</v>
      </c>
      <c r="G65" s="27" t="s">
        <v>681</v>
      </c>
      <c r="H65" s="27" t="s">
        <v>682</v>
      </c>
      <c r="I65" s="27" t="s">
        <v>683</v>
      </c>
      <c r="J65" s="27" t="s">
        <v>684</v>
      </c>
      <c r="K65" s="27" t="s">
        <v>685</v>
      </c>
      <c r="L65" s="27" t="s">
        <v>21</v>
      </c>
      <c r="M65" s="27" t="s">
        <v>162</v>
      </c>
      <c r="N65" s="27" t="s">
        <v>126</v>
      </c>
      <c r="O65" s="27" t="s">
        <v>127</v>
      </c>
      <c r="P65" s="27" t="s">
        <v>127</v>
      </c>
      <c r="Q65" s="27" t="s">
        <v>127</v>
      </c>
      <c r="R65" s="27" t="str">
        <f>IF(N65="否","不适用",IF(N65&lt;&gt;"是","待判断",IF(AND(O65="是",P65="是"),"通过",IF(O65="部分","待补充",IF(AND(O65="否",L65="P0"),"P0阻塞",IF(AND(O65="否",L65="P64"),"P64风险",IF(O65="否","建议优化","待检查")))))))</f>
        <v>待检查</v>
      </c>
      <c r="S65" s="27" t="s">
        <v>686</v>
      </c>
      <c r="T65" s="27" t="s">
        <v>127</v>
      </c>
      <c r="U65" s="27" t="s">
        <v>127</v>
      </c>
      <c r="V65" s="28" t="s">
        <v>127</v>
      </c>
    </row>
    <row r="66" ht="79.2" customHeight="1" spans="1:22">
      <c r="A66" s="27">
        <v>65</v>
      </c>
      <c r="B66" s="27" t="s">
        <v>61</v>
      </c>
      <c r="C66" s="27" t="s">
        <v>300</v>
      </c>
      <c r="D66" s="27" t="s">
        <v>687</v>
      </c>
      <c r="E66" s="27" t="s">
        <v>688</v>
      </c>
      <c r="F66" s="27" t="s">
        <v>689</v>
      </c>
      <c r="G66" s="27" t="s">
        <v>690</v>
      </c>
      <c r="H66" s="27" t="s">
        <v>691</v>
      </c>
      <c r="I66" s="27" t="s">
        <v>692</v>
      </c>
      <c r="J66" s="27" t="s">
        <v>693</v>
      </c>
      <c r="K66" s="27" t="s">
        <v>94</v>
      </c>
      <c r="L66" s="27" t="s">
        <v>17</v>
      </c>
      <c r="M66" s="27" t="s">
        <v>162</v>
      </c>
      <c r="N66" s="27" t="s">
        <v>126</v>
      </c>
      <c r="O66" s="27" t="s">
        <v>127</v>
      </c>
      <c r="P66" s="27" t="s">
        <v>127</v>
      </c>
      <c r="Q66" s="27" t="s">
        <v>127</v>
      </c>
      <c r="R66" s="27" t="str">
        <f>IF(N66="否","不适用",IF(N66&lt;&gt;"是","待判断",IF(AND(O66="是",P66="是"),"通过",IF(O66="部分","待补充",IF(AND(O66="否",L66="P0"),"P0阻塞",IF(AND(O66="否",L66="P65"),"P65风险",IF(O66="否","建议优化","待检查")))))))</f>
        <v>待检查</v>
      </c>
      <c r="S66" s="27" t="s">
        <v>694</v>
      </c>
      <c r="T66" s="27" t="s">
        <v>127</v>
      </c>
      <c r="U66" s="27" t="s">
        <v>127</v>
      </c>
      <c r="V66" s="28" t="s">
        <v>695</v>
      </c>
    </row>
    <row r="67" ht="24" customHeight="1" spans="1:22">
      <c r="A67" s="27">
        <v>66</v>
      </c>
      <c r="B67" s="27" t="s">
        <v>61</v>
      </c>
      <c r="C67" s="27" t="s">
        <v>653</v>
      </c>
      <c r="D67" s="27" t="s">
        <v>696</v>
      </c>
      <c r="E67" s="27" t="s">
        <v>697</v>
      </c>
      <c r="F67" s="27" t="s">
        <v>698</v>
      </c>
      <c r="G67" s="27" t="s">
        <v>699</v>
      </c>
      <c r="H67" s="27" t="s">
        <v>700</v>
      </c>
      <c r="I67" s="27" t="s">
        <v>701</v>
      </c>
      <c r="J67" s="27" t="s">
        <v>702</v>
      </c>
      <c r="K67" s="27" t="s">
        <v>703</v>
      </c>
      <c r="L67" s="27" t="s">
        <v>21</v>
      </c>
      <c r="M67" s="27" t="s">
        <v>162</v>
      </c>
      <c r="N67" s="27" t="s">
        <v>126</v>
      </c>
      <c r="O67" s="27" t="s">
        <v>127</v>
      </c>
      <c r="P67" s="27" t="s">
        <v>127</v>
      </c>
      <c r="Q67" s="27" t="s">
        <v>127</v>
      </c>
      <c r="R67" s="27" t="str">
        <f>IF(N67="否","不适用",IF(N67&lt;&gt;"是","待判断",IF(AND(O67="是",P67="是"),"通过",IF(O67="部分","待补充",IF(AND(O67="否",L67="P0"),"P0阻塞",IF(AND(O67="否",L67="P66"),"P66风险",IF(O67="否","建议优化","待检查")))))))</f>
        <v>待检查</v>
      </c>
      <c r="S67" s="27" t="s">
        <v>704</v>
      </c>
      <c r="T67" s="27" t="s">
        <v>127</v>
      </c>
      <c r="U67" s="27" t="s">
        <v>127</v>
      </c>
      <c r="V67" s="28" t="s">
        <v>127</v>
      </c>
    </row>
  </sheetData>
  <conditionalFormatting sqref="L2:L67">
    <cfRule type="expression" dxfId="2" priority="1">
      <formula>L2="P0"</formula>
    </cfRule>
    <cfRule type="expression" dxfId="3" priority="2">
      <formula>L2="P1"</formula>
    </cfRule>
  </conditionalFormatting>
  <conditionalFormatting sqref="R2:R67">
    <cfRule type="expression" dxfId="0" priority="3">
      <formula>R2="P0阻塞"</formula>
    </cfRule>
    <cfRule type="expression" dxfId="1" priority="4">
      <formula>R2="P1风险"</formula>
    </cfRule>
    <cfRule type="expression" dxfId="6" priority="5">
      <formula>R2="通过"</formula>
    </cfRule>
    <cfRule type="expression" dxfId="5" priority="6">
      <formula>R2="待补充"</formula>
    </cfRule>
  </conditionalFormatting>
  <dataValidations count="4">
    <dataValidation type="list" sqref="B2:B67">
      <formula1>"必查门禁,扩展检查,优化建议"</formula1>
    </dataValidation>
    <dataValidation type="list" sqref="L2:L67 Q2:Q67">
      <formula1>"P0,P1,P2,P3"</formula1>
    </dataValidation>
    <dataValidation type="list" sqref="N2:N67 P2:P67">
      <formula1>"是,否"</formula1>
    </dataValidation>
    <dataValidation type="list" sqref="O2:O67">
      <formula1>"是,否,部分"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A1" sqref="A1"/>
    </sheetView>
  </sheetViews>
  <sheetFormatPr defaultColWidth="9" defaultRowHeight="15"/>
  <cols>
    <col min="1" max="15" width="18" customWidth="1"/>
  </cols>
  <sheetData>
    <row r="1" ht="16.5" spans="1:15">
      <c r="A1" s="21" t="s">
        <v>53</v>
      </c>
      <c r="B1" s="22"/>
      <c r="C1" s="22"/>
      <c r="D1" s="21" t="s">
        <v>7</v>
      </c>
      <c r="E1" s="22"/>
      <c r="F1" s="22"/>
      <c r="G1" s="21" t="s">
        <v>109</v>
      </c>
      <c r="H1" s="22"/>
      <c r="I1" s="22"/>
      <c r="J1" s="21" t="s">
        <v>110</v>
      </c>
      <c r="K1" s="22"/>
      <c r="L1" s="22"/>
      <c r="M1" s="21" t="s">
        <v>111</v>
      </c>
      <c r="N1" s="22"/>
      <c r="O1" s="22"/>
    </row>
    <row r="2" ht="16.5" spans="1:15">
      <c r="A2" s="23" t="s">
        <v>59</v>
      </c>
      <c r="B2" s="22"/>
      <c r="C2" s="22"/>
      <c r="D2" s="23" t="s">
        <v>13</v>
      </c>
      <c r="E2" s="22"/>
      <c r="F2" s="22"/>
      <c r="G2" s="23" t="s">
        <v>126</v>
      </c>
      <c r="H2" s="22"/>
      <c r="I2" s="22"/>
      <c r="J2" s="23" t="s">
        <v>126</v>
      </c>
      <c r="K2" s="22"/>
      <c r="L2" s="22"/>
      <c r="M2" s="23" t="s">
        <v>126</v>
      </c>
      <c r="N2" s="22"/>
      <c r="O2" s="22"/>
    </row>
    <row r="3" ht="16.5" spans="1:15">
      <c r="A3" s="23" t="s">
        <v>60</v>
      </c>
      <c r="B3" s="22"/>
      <c r="C3" s="22"/>
      <c r="D3" s="23" t="s">
        <v>17</v>
      </c>
      <c r="E3" s="22"/>
      <c r="F3" s="22"/>
      <c r="G3" s="23" t="s">
        <v>705</v>
      </c>
      <c r="H3" s="22"/>
      <c r="I3" s="22"/>
      <c r="J3" s="23" t="s">
        <v>705</v>
      </c>
      <c r="K3" s="22"/>
      <c r="L3" s="22"/>
      <c r="M3" s="23" t="s">
        <v>705</v>
      </c>
      <c r="N3" s="22"/>
      <c r="O3" s="22"/>
    </row>
    <row r="4" ht="16.5" spans="1:15">
      <c r="A4" s="23" t="s">
        <v>61</v>
      </c>
      <c r="B4" s="22"/>
      <c r="C4" s="22"/>
      <c r="D4" s="23" t="s">
        <v>21</v>
      </c>
      <c r="E4" s="22"/>
      <c r="F4" s="22"/>
      <c r="G4" s="22"/>
      <c r="H4" s="22"/>
      <c r="I4" s="22"/>
      <c r="J4" s="23" t="s">
        <v>706</v>
      </c>
      <c r="K4" s="22"/>
      <c r="L4" s="22"/>
      <c r="M4" s="22"/>
      <c r="N4" s="22"/>
      <c r="O4" s="22"/>
    </row>
    <row r="5" ht="16.5" spans="1:15">
      <c r="A5" s="22"/>
      <c r="B5" s="22"/>
      <c r="C5" s="22"/>
      <c r="D5" s="23" t="s">
        <v>25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ht="16.5" spans="1: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ht="16.5" spans="1:1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ht="16.5" spans="1:1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ht="16.5" spans="1:1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ht="16.5" spans="1: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ht="16.5" spans="1: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ht="16.5" spans="1:1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ht="16.5" spans="1:15">
      <c r="A13" s="21" t="s">
        <v>112</v>
      </c>
      <c r="B13" s="22"/>
      <c r="C13" s="22"/>
      <c r="D13" s="21" t="s">
        <v>5</v>
      </c>
      <c r="E13" s="22"/>
      <c r="F13" s="22"/>
      <c r="G13" s="21" t="s">
        <v>707</v>
      </c>
      <c r="H13" s="22"/>
      <c r="I13" s="22"/>
      <c r="J13" s="21" t="s">
        <v>106</v>
      </c>
      <c r="K13" s="22"/>
      <c r="L13" s="22"/>
      <c r="M13" s="21" t="s">
        <v>708</v>
      </c>
      <c r="N13" s="22"/>
      <c r="O13" s="22"/>
    </row>
    <row r="14" ht="16.5" spans="1:15">
      <c r="A14" s="23" t="s">
        <v>127</v>
      </c>
      <c r="B14" s="22"/>
      <c r="C14" s="22"/>
      <c r="D14" s="23" t="s">
        <v>12</v>
      </c>
      <c r="E14" s="22"/>
      <c r="F14" s="22"/>
      <c r="G14" s="23" t="s">
        <v>709</v>
      </c>
      <c r="H14" s="22"/>
      <c r="I14" s="22"/>
      <c r="J14" s="23" t="s">
        <v>144</v>
      </c>
      <c r="K14" s="22"/>
      <c r="L14" s="22"/>
      <c r="M14" s="23" t="s">
        <v>710</v>
      </c>
      <c r="N14" s="22"/>
      <c r="O14" s="22"/>
    </row>
    <row r="15" ht="16.5" spans="1:15">
      <c r="A15" s="23" t="s">
        <v>13</v>
      </c>
      <c r="B15" s="22"/>
      <c r="C15" s="22"/>
      <c r="D15" s="23" t="s">
        <v>16</v>
      </c>
      <c r="E15" s="22"/>
      <c r="F15" s="22"/>
      <c r="G15" s="23" t="s">
        <v>711</v>
      </c>
      <c r="H15" s="22"/>
      <c r="I15" s="22"/>
      <c r="J15" s="23" t="s">
        <v>161</v>
      </c>
      <c r="K15" s="22"/>
      <c r="L15" s="22"/>
      <c r="M15" s="23" t="s">
        <v>712</v>
      </c>
      <c r="N15" s="22"/>
      <c r="O15" s="22"/>
    </row>
    <row r="16" ht="16.5" spans="1:15">
      <c r="A16" s="23" t="s">
        <v>17</v>
      </c>
      <c r="B16" s="22"/>
      <c r="C16" s="22"/>
      <c r="D16" s="23" t="s">
        <v>20</v>
      </c>
      <c r="E16" s="22"/>
      <c r="F16" s="22"/>
      <c r="G16" s="23" t="s">
        <v>713</v>
      </c>
      <c r="H16" s="22"/>
      <c r="I16" s="22"/>
      <c r="J16" s="23" t="s">
        <v>174</v>
      </c>
      <c r="K16" s="22"/>
      <c r="L16" s="22"/>
      <c r="M16" s="23" t="s">
        <v>714</v>
      </c>
      <c r="N16" s="22"/>
      <c r="O16" s="22"/>
    </row>
    <row r="17" ht="16.5" spans="1:15">
      <c r="A17" s="23" t="s">
        <v>21</v>
      </c>
      <c r="B17" s="22"/>
      <c r="C17" s="22"/>
      <c r="D17" s="23" t="s">
        <v>24</v>
      </c>
      <c r="E17" s="22"/>
      <c r="F17" s="22"/>
      <c r="G17" s="23" t="s">
        <v>715</v>
      </c>
      <c r="H17" s="22"/>
      <c r="I17" s="22"/>
      <c r="J17" s="23" t="s">
        <v>716</v>
      </c>
      <c r="K17" s="22"/>
      <c r="L17" s="22"/>
      <c r="M17" s="23" t="s">
        <v>717</v>
      </c>
      <c r="N17" s="22"/>
      <c r="O17" s="22"/>
    </row>
    <row r="18" ht="16.5" spans="1:15">
      <c r="A18" s="23" t="s">
        <v>25</v>
      </c>
      <c r="B18" s="22"/>
      <c r="C18" s="22"/>
      <c r="D18" s="23" t="s">
        <v>28</v>
      </c>
      <c r="E18" s="22"/>
      <c r="F18" s="22"/>
      <c r="G18" s="23" t="s">
        <v>125</v>
      </c>
      <c r="H18" s="22"/>
      <c r="I18" s="22"/>
      <c r="J18" s="23" t="s">
        <v>718</v>
      </c>
      <c r="K18" s="22"/>
      <c r="L18" s="22"/>
      <c r="M18" s="23" t="s">
        <v>719</v>
      </c>
      <c r="N18" s="22"/>
      <c r="O18" s="22"/>
    </row>
    <row r="19" ht="16.5" spans="1:15">
      <c r="A19" s="22"/>
      <c r="B19" s="22"/>
      <c r="C19" s="22"/>
      <c r="D19" s="23" t="s">
        <v>31</v>
      </c>
      <c r="E19" s="22"/>
      <c r="F19" s="22"/>
      <c r="G19" s="23" t="s">
        <v>162</v>
      </c>
      <c r="H19" s="22"/>
      <c r="I19" s="22"/>
      <c r="J19" s="23" t="s">
        <v>73</v>
      </c>
      <c r="K19" s="22"/>
      <c r="L19" s="22"/>
      <c r="M19" s="23" t="s">
        <v>720</v>
      </c>
      <c r="N19" s="22"/>
      <c r="O19" s="22"/>
    </row>
    <row r="20" ht="16.5" spans="1:15">
      <c r="A20" s="22"/>
      <c r="B20" s="22"/>
      <c r="C20" s="22"/>
      <c r="D20" s="23" t="s">
        <v>34</v>
      </c>
      <c r="E20" s="22"/>
      <c r="F20" s="22"/>
      <c r="G20" s="23" t="s">
        <v>256</v>
      </c>
      <c r="H20" s="22"/>
      <c r="I20" s="22"/>
      <c r="J20" s="23" t="s">
        <v>76</v>
      </c>
      <c r="K20" s="22"/>
      <c r="L20" s="22"/>
      <c r="M20" s="23" t="s">
        <v>721</v>
      </c>
      <c r="N20" s="22"/>
      <c r="O20" s="22"/>
    </row>
    <row r="21" ht="16.5" spans="1:15">
      <c r="A21" s="22"/>
      <c r="B21" s="22"/>
      <c r="C21" s="22"/>
      <c r="D21" s="23" t="s">
        <v>722</v>
      </c>
      <c r="E21" s="22"/>
      <c r="F21" s="22"/>
      <c r="G21" s="22"/>
      <c r="H21" s="22"/>
      <c r="I21" s="22"/>
      <c r="J21" s="23" t="s">
        <v>79</v>
      </c>
      <c r="K21" s="22"/>
      <c r="L21" s="22"/>
      <c r="M21" s="23" t="s">
        <v>723</v>
      </c>
      <c r="N21" s="22"/>
      <c r="O21" s="22"/>
    </row>
    <row r="22" ht="16.5" spans="1:15">
      <c r="A22" s="22"/>
      <c r="B22" s="22"/>
      <c r="C22" s="22"/>
      <c r="D22" s="22"/>
      <c r="E22" s="22"/>
      <c r="F22" s="22"/>
      <c r="G22" s="22"/>
      <c r="H22" s="22"/>
      <c r="I22" s="22"/>
      <c r="J22" s="23" t="s">
        <v>82</v>
      </c>
      <c r="K22" s="22"/>
      <c r="L22" s="22"/>
      <c r="M22" s="23" t="s">
        <v>724</v>
      </c>
      <c r="N22" s="22"/>
      <c r="O22" s="22"/>
    </row>
    <row r="23" ht="16.5" spans="1:15">
      <c r="A23" s="22"/>
      <c r="B23" s="22"/>
      <c r="C23" s="22"/>
      <c r="D23" s="22"/>
      <c r="E23" s="22"/>
      <c r="F23" s="22"/>
      <c r="G23" s="22"/>
      <c r="H23" s="22"/>
      <c r="I23" s="22"/>
      <c r="J23" s="23" t="s">
        <v>85</v>
      </c>
      <c r="K23" s="22"/>
      <c r="L23" s="22"/>
      <c r="M23" s="23" t="s">
        <v>725</v>
      </c>
      <c r="N23" s="22"/>
      <c r="O23" s="22"/>
    </row>
    <row r="24" ht="16.5" spans="1:15">
      <c r="A24" s="22"/>
      <c r="B24" s="22"/>
      <c r="C24" s="22"/>
      <c r="D24" s="22"/>
      <c r="E24" s="22"/>
      <c r="F24" s="22"/>
      <c r="G24" s="22"/>
      <c r="H24" s="22"/>
      <c r="I24" s="22"/>
      <c r="J24" s="23" t="s">
        <v>88</v>
      </c>
      <c r="K24" s="22"/>
      <c r="L24" s="22"/>
      <c r="M24" s="22"/>
      <c r="N24" s="22"/>
      <c r="O24" s="22"/>
    </row>
    <row r="25" ht="16.5" spans="1:15">
      <c r="A25" s="22"/>
      <c r="B25" s="22"/>
      <c r="C25" s="22"/>
      <c r="D25" s="22"/>
      <c r="E25" s="22"/>
      <c r="F25" s="22"/>
      <c r="G25" s="22"/>
      <c r="H25" s="22"/>
      <c r="I25" s="22"/>
      <c r="J25" s="23" t="s">
        <v>91</v>
      </c>
      <c r="K25" s="22"/>
      <c r="L25" s="22"/>
      <c r="M25" s="22"/>
      <c r="N25" s="22"/>
      <c r="O25" s="22"/>
    </row>
    <row r="26" spans="1:15">
      <c r="J26" s="24" t="s">
        <v>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17" sqref="E17"/>
    </sheetView>
  </sheetViews>
  <sheetFormatPr defaultColWidth="9" defaultRowHeight="15" outlineLevelRow="4" outlineLevelCol="4"/>
  <cols>
    <col min="1" max="1" width="10" style="1" customWidth="1"/>
    <col min="2" max="2" width="18" style="1" customWidth="1"/>
    <col min="3" max="3" width="38" style="1" customWidth="1"/>
    <col min="4" max="4" width="24" style="1" customWidth="1"/>
    <col min="5" max="5" width="42" style="1" customWidth="1"/>
    <col min="6" max="16384" width="9" style="1"/>
  </cols>
  <sheetData>
    <row r="1" ht="50" customHeight="1" spans="1:5">
      <c r="A1" s="16" t="s">
        <v>726</v>
      </c>
      <c r="B1" s="16" t="s">
        <v>727</v>
      </c>
      <c r="C1" s="16" t="s">
        <v>728</v>
      </c>
      <c r="D1" s="16" t="s">
        <v>729</v>
      </c>
      <c r="E1" s="16" t="s">
        <v>730</v>
      </c>
    </row>
    <row r="2" ht="50" customHeight="1" spans="1:5">
      <c r="A2" s="17" t="s">
        <v>13</v>
      </c>
      <c r="B2" s="17" t="s">
        <v>731</v>
      </c>
      <c r="C2" s="17" t="s">
        <v>732</v>
      </c>
      <c r="D2" s="17" t="s">
        <v>733</v>
      </c>
      <c r="E2" s="17" t="s">
        <v>734</v>
      </c>
    </row>
    <row r="3" ht="50" customHeight="1" spans="1:5">
      <c r="A3" s="17" t="s">
        <v>17</v>
      </c>
      <c r="B3" s="17" t="s">
        <v>735</v>
      </c>
      <c r="C3" s="17" t="s">
        <v>736</v>
      </c>
      <c r="D3" s="17" t="s">
        <v>737</v>
      </c>
      <c r="E3" s="17" t="s">
        <v>738</v>
      </c>
    </row>
    <row r="4" ht="50" customHeight="1" spans="1:5">
      <c r="A4" s="17" t="s">
        <v>21</v>
      </c>
      <c r="B4" s="17" t="s">
        <v>739</v>
      </c>
      <c r="C4" s="17" t="s">
        <v>740</v>
      </c>
      <c r="D4" s="17" t="s">
        <v>741</v>
      </c>
      <c r="E4" s="17" t="s">
        <v>742</v>
      </c>
    </row>
    <row r="5" ht="50" customHeight="1" spans="1:5">
      <c r="A5" s="17" t="s">
        <v>25</v>
      </c>
      <c r="B5" s="17" t="s">
        <v>61</v>
      </c>
      <c r="C5" s="17" t="s">
        <v>743</v>
      </c>
      <c r="D5" s="17" t="s">
        <v>744</v>
      </c>
      <c r="E5" s="17" t="s">
        <v>745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18" sqref="D18"/>
    </sheetView>
  </sheetViews>
  <sheetFormatPr defaultColWidth="9" defaultRowHeight="15" outlineLevelRow="4" outlineLevelCol="4"/>
  <cols>
    <col min="1" max="1" width="10" style="1" customWidth="1"/>
    <col min="2" max="2" width="24" style="1" customWidth="1"/>
    <col min="3" max="3" width="42" style="1" customWidth="1"/>
    <col min="4" max="4" width="34" style="1" customWidth="1"/>
    <col min="5" max="5" width="32" style="1" customWidth="1"/>
    <col min="6" max="16384" width="9" style="1"/>
  </cols>
  <sheetData>
    <row r="1" ht="58" customHeight="1" spans="1:5">
      <c r="A1" s="16" t="s">
        <v>707</v>
      </c>
      <c r="B1" s="16" t="s">
        <v>746</v>
      </c>
      <c r="C1" s="16" t="s">
        <v>747</v>
      </c>
      <c r="D1" s="16" t="s">
        <v>748</v>
      </c>
      <c r="E1" s="16" t="s">
        <v>749</v>
      </c>
    </row>
    <row r="2" ht="58" customHeight="1" spans="1:5">
      <c r="A2" s="17" t="s">
        <v>709</v>
      </c>
      <c r="B2" s="17" t="s">
        <v>750</v>
      </c>
      <c r="C2" s="17" t="s">
        <v>751</v>
      </c>
      <c r="D2" s="17" t="s">
        <v>752</v>
      </c>
      <c r="E2" s="17" t="s">
        <v>753</v>
      </c>
    </row>
    <row r="3" ht="58" customHeight="1" spans="1:5">
      <c r="A3" s="17" t="s">
        <v>711</v>
      </c>
      <c r="B3" s="17" t="s">
        <v>754</v>
      </c>
      <c r="C3" s="17" t="s">
        <v>755</v>
      </c>
      <c r="D3" s="17" t="s">
        <v>756</v>
      </c>
      <c r="E3" s="17" t="s">
        <v>757</v>
      </c>
    </row>
    <row r="4" ht="58" customHeight="1" spans="1:5">
      <c r="A4" s="17" t="s">
        <v>713</v>
      </c>
      <c r="B4" s="17" t="s">
        <v>758</v>
      </c>
      <c r="C4" s="17" t="s">
        <v>759</v>
      </c>
      <c r="D4" s="17" t="s">
        <v>760</v>
      </c>
      <c r="E4" s="17" t="s">
        <v>761</v>
      </c>
    </row>
    <row r="5" ht="58" customHeight="1" spans="1:5">
      <c r="A5" s="17" t="s">
        <v>715</v>
      </c>
      <c r="B5" s="17" t="s">
        <v>762</v>
      </c>
      <c r="C5" s="17" t="s">
        <v>763</v>
      </c>
      <c r="D5" s="17" t="s">
        <v>764</v>
      </c>
      <c r="E5" s="17" t="s">
        <v>765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E6" sqref="E6"/>
    </sheetView>
  </sheetViews>
  <sheetFormatPr defaultColWidth="9" defaultRowHeight="15" outlineLevelCol="1"/>
  <cols>
    <col min="1" max="1" width="18" style="1" customWidth="1"/>
    <col min="2" max="2" width="90" style="1" customWidth="1"/>
    <col min="3" max="16384" width="9" style="1"/>
  </cols>
  <sheetData>
    <row r="1" ht="42" customHeight="1" spans="1:2">
      <c r="A1" s="19" t="s">
        <v>766</v>
      </c>
      <c r="B1" s="19" t="s">
        <v>767</v>
      </c>
    </row>
    <row r="2" ht="42" customHeight="1" spans="1:2">
      <c r="A2" s="20" t="s">
        <v>768</v>
      </c>
      <c r="B2" s="17" t="s">
        <v>769</v>
      </c>
    </row>
    <row r="3" ht="42" customHeight="1" spans="1:2">
      <c r="A3" s="20" t="s">
        <v>770</v>
      </c>
      <c r="B3" s="17" t="s">
        <v>771</v>
      </c>
    </row>
    <row r="4" ht="42" customHeight="1" spans="1:2">
      <c r="A4" s="20" t="s">
        <v>772</v>
      </c>
      <c r="B4" s="17" t="s">
        <v>773</v>
      </c>
    </row>
    <row r="5" ht="42" customHeight="1" spans="1:2">
      <c r="A5" s="20" t="s">
        <v>774</v>
      </c>
      <c r="B5" s="17" t="s">
        <v>775</v>
      </c>
    </row>
    <row r="6" ht="42" customHeight="1" spans="1:2">
      <c r="A6" s="20" t="s">
        <v>776</v>
      </c>
      <c r="B6" s="17" t="s">
        <v>777</v>
      </c>
    </row>
    <row r="7" ht="42" customHeight="1" spans="1:2">
      <c r="A7" s="20" t="s">
        <v>778</v>
      </c>
      <c r="B7" s="17" t="s">
        <v>779</v>
      </c>
    </row>
    <row r="8" ht="42" customHeight="1" spans="1:2">
      <c r="A8" s="20" t="s">
        <v>780</v>
      </c>
      <c r="B8" s="17" t="s">
        <v>781</v>
      </c>
    </row>
    <row r="9" ht="42" customHeight="1" spans="1:2">
      <c r="A9" s="20" t="s">
        <v>782</v>
      </c>
      <c r="B9" s="17" t="s">
        <v>783</v>
      </c>
    </row>
    <row r="10" ht="42" customHeight="1" spans="1:2">
      <c r="A10" s="20" t="s">
        <v>784</v>
      </c>
      <c r="B10" s="17" t="s">
        <v>785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4" sqref="F4"/>
    </sheetView>
  </sheetViews>
  <sheetFormatPr defaultColWidth="9" defaultRowHeight="15" outlineLevelCol="2"/>
  <cols>
    <col min="1" max="1" width="8" style="1" customWidth="1"/>
    <col min="2" max="2" width="24" style="1" customWidth="1"/>
    <col min="3" max="3" width="80" style="1" customWidth="1"/>
    <col min="4" max="16384" width="9" style="1"/>
  </cols>
  <sheetData>
    <row r="1" ht="42" customHeight="1" spans="1:3">
      <c r="A1" s="16" t="s">
        <v>786</v>
      </c>
      <c r="B1" s="16" t="s">
        <v>787</v>
      </c>
      <c r="C1" s="16" t="s">
        <v>788</v>
      </c>
    </row>
    <row r="2" ht="42" customHeight="1" spans="1:3">
      <c r="A2" s="17" t="s">
        <v>789</v>
      </c>
      <c r="B2" s="17" t="s">
        <v>790</v>
      </c>
      <c r="C2" s="17" t="s">
        <v>791</v>
      </c>
    </row>
    <row r="3" ht="42" customHeight="1" spans="1:3">
      <c r="A3" s="17" t="s">
        <v>792</v>
      </c>
      <c r="B3" s="17" t="s">
        <v>793</v>
      </c>
      <c r="C3" s="17" t="s">
        <v>794</v>
      </c>
    </row>
    <row r="4" ht="42" customHeight="1" spans="1:3">
      <c r="A4" s="17" t="s">
        <v>795</v>
      </c>
      <c r="B4" s="17" t="s">
        <v>796</v>
      </c>
      <c r="C4" s="17" t="s">
        <v>797</v>
      </c>
    </row>
    <row r="5" ht="42" customHeight="1" spans="1:3">
      <c r="A5" s="17" t="s">
        <v>798</v>
      </c>
      <c r="B5" s="17" t="s">
        <v>799</v>
      </c>
      <c r="C5" s="17" t="s">
        <v>800</v>
      </c>
    </row>
    <row r="6" ht="42" customHeight="1" spans="1:3">
      <c r="A6" s="17" t="s">
        <v>801</v>
      </c>
      <c r="B6" s="17" t="s">
        <v>802</v>
      </c>
      <c r="C6" s="17" t="s">
        <v>803</v>
      </c>
    </row>
    <row r="7" ht="42" customHeight="1" spans="1:3">
      <c r="A7" s="17" t="s">
        <v>804</v>
      </c>
      <c r="B7" s="17" t="s">
        <v>805</v>
      </c>
      <c r="C7" s="17" t="s">
        <v>806</v>
      </c>
    </row>
    <row r="8" ht="42" customHeight="1" spans="1:3">
      <c r="A8" s="17" t="s">
        <v>807</v>
      </c>
      <c r="B8" s="17" t="s">
        <v>808</v>
      </c>
      <c r="C8" s="17" t="s">
        <v>809</v>
      </c>
    </row>
    <row r="9" ht="42" customHeight="1" spans="1:3">
      <c r="A9" s="17" t="s">
        <v>810</v>
      </c>
      <c r="B9" s="17" t="s">
        <v>811</v>
      </c>
      <c r="C9" s="17" t="s">
        <v>812</v>
      </c>
    </row>
    <row r="11" ht="28.5" spans="1:3">
      <c r="A11" s="18" t="s">
        <v>813</v>
      </c>
      <c r="B11" s="18" t="s">
        <v>814</v>
      </c>
      <c r="C11" s="18" t="s">
        <v>815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0"/>
  <sheetViews>
    <sheetView topLeftCell="A132" workbookViewId="0">
      <selection activeCell="G6" sqref="G6"/>
    </sheetView>
  </sheetViews>
  <sheetFormatPr defaultColWidth="9" defaultRowHeight="15"/>
  <cols>
    <col min="1" max="1" width="14" style="1" customWidth="1"/>
    <col min="2" max="2" width="18" style="1" customWidth="1"/>
    <col min="3" max="3" width="20" style="1" customWidth="1"/>
    <col min="4" max="4" width="22" style="1" customWidth="1"/>
    <col min="5" max="5" width="26" style="1" customWidth="1"/>
    <col min="6" max="6" width="24" style="1" customWidth="1"/>
    <col min="7" max="9" width="18" style="1" customWidth="1"/>
    <col min="10" max="10" width="16" style="1" customWidth="1"/>
    <col min="11" max="11" width="18" style="1" customWidth="1"/>
    <col min="12" max="16384" width="9" style="1"/>
  </cols>
  <sheetData>
    <row r="1" ht="32" customHeight="1" spans="1:11">
      <c r="A1" s="2" t="s">
        <v>816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8" customHeight="1" spans="1:11">
      <c r="A2" s="4" t="s">
        <v>817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5" t="s">
        <v>818</v>
      </c>
      <c r="B4" s="5" t="s">
        <v>819</v>
      </c>
      <c r="C4" s="5" t="s">
        <v>820</v>
      </c>
      <c r="D4" s="5" t="s">
        <v>821</v>
      </c>
      <c r="E4" s="5" t="s">
        <v>822</v>
      </c>
      <c r="F4" s="5" t="s">
        <v>72</v>
      </c>
      <c r="G4" s="3"/>
      <c r="H4" s="3"/>
      <c r="I4" s="3"/>
      <c r="J4" s="3"/>
      <c r="K4" s="3"/>
    </row>
    <row r="5" ht="40.5" spans="1:11">
      <c r="A5" s="6" t="s">
        <v>73</v>
      </c>
      <c r="B5" s="6" t="s">
        <v>823</v>
      </c>
      <c r="C5" s="6" t="s">
        <v>824</v>
      </c>
      <c r="D5" s="6" t="s">
        <v>47</v>
      </c>
      <c r="E5" s="6" t="s">
        <v>217</v>
      </c>
      <c r="F5" s="6" t="s">
        <v>825</v>
      </c>
      <c r="G5" s="3"/>
      <c r="H5" s="3"/>
      <c r="I5" s="3"/>
      <c r="J5" s="3"/>
      <c r="K5" s="3"/>
    </row>
    <row r="6" ht="40.5" spans="1:11">
      <c r="A6" s="6" t="s">
        <v>76</v>
      </c>
      <c r="B6" s="6" t="s">
        <v>826</v>
      </c>
      <c r="C6" s="6" t="s">
        <v>827</v>
      </c>
      <c r="D6" s="6" t="s">
        <v>828</v>
      </c>
      <c r="E6" s="6" t="s">
        <v>829</v>
      </c>
      <c r="F6" s="6" t="s">
        <v>830</v>
      </c>
      <c r="G6" s="3"/>
      <c r="H6" s="3"/>
      <c r="I6" s="3"/>
      <c r="J6" s="3"/>
      <c r="K6" s="3"/>
    </row>
    <row r="7" ht="27" spans="1:11">
      <c r="A7" s="6" t="s">
        <v>79</v>
      </c>
      <c r="B7" s="6" t="s">
        <v>831</v>
      </c>
      <c r="C7" s="6" t="s">
        <v>832</v>
      </c>
      <c r="D7" s="6" t="s">
        <v>833</v>
      </c>
      <c r="E7" s="6" t="s">
        <v>834</v>
      </c>
      <c r="F7" s="6" t="s">
        <v>835</v>
      </c>
      <c r="G7" s="3"/>
      <c r="H7" s="3"/>
      <c r="I7" s="3"/>
      <c r="J7" s="3"/>
      <c r="K7" s="3"/>
    </row>
    <row r="8" ht="27" spans="1:11">
      <c r="A8" s="6" t="s">
        <v>82</v>
      </c>
      <c r="B8" s="6" t="s">
        <v>836</v>
      </c>
      <c r="C8" s="6" t="s">
        <v>837</v>
      </c>
      <c r="D8" s="6" t="s">
        <v>56</v>
      </c>
      <c r="E8" s="6" t="s">
        <v>254</v>
      </c>
      <c r="F8" s="6" t="s">
        <v>838</v>
      </c>
      <c r="G8" s="3"/>
      <c r="H8" s="3"/>
      <c r="I8" s="3"/>
      <c r="J8" s="3"/>
      <c r="K8" s="3"/>
    </row>
    <row r="9" ht="27" spans="1:11">
      <c r="A9" s="6" t="s">
        <v>85</v>
      </c>
      <c r="B9" s="6" t="s">
        <v>259</v>
      </c>
      <c r="C9" s="6" t="s">
        <v>839</v>
      </c>
      <c r="D9" s="6" t="s">
        <v>840</v>
      </c>
      <c r="E9" s="6" t="s">
        <v>841</v>
      </c>
      <c r="F9" s="6" t="s">
        <v>842</v>
      </c>
      <c r="G9" s="3"/>
      <c r="H9" s="3"/>
      <c r="I9" s="3"/>
      <c r="J9" s="3"/>
      <c r="K9" s="3"/>
    </row>
    <row r="10" ht="27" spans="1:11">
      <c r="A10" s="6" t="s">
        <v>88</v>
      </c>
      <c r="B10" s="6" t="s">
        <v>843</v>
      </c>
      <c r="C10" s="6" t="s">
        <v>844</v>
      </c>
      <c r="D10" s="6" t="s">
        <v>50</v>
      </c>
      <c r="E10" s="6" t="s">
        <v>284</v>
      </c>
      <c r="F10" s="6" t="s">
        <v>845</v>
      </c>
      <c r="G10" s="3"/>
      <c r="H10" s="3"/>
      <c r="I10" s="3"/>
      <c r="J10" s="3"/>
      <c r="K10" s="3"/>
    </row>
    <row r="11" ht="28.5" spans="1:11">
      <c r="A11" s="6" t="s">
        <v>91</v>
      </c>
      <c r="B11" s="6" t="s">
        <v>846</v>
      </c>
      <c r="C11" s="6" t="s">
        <v>847</v>
      </c>
      <c r="D11" s="6" t="s">
        <v>840</v>
      </c>
      <c r="E11" s="6" t="s">
        <v>292</v>
      </c>
      <c r="F11" s="6" t="s">
        <v>848</v>
      </c>
      <c r="G11" s="3"/>
      <c r="H11" s="3"/>
      <c r="I11" s="3"/>
      <c r="J11" s="3"/>
      <c r="K11" s="3"/>
    </row>
    <row r="12" ht="28.5" spans="1:11">
      <c r="A12" s="6" t="s">
        <v>94</v>
      </c>
      <c r="B12" s="6" t="s">
        <v>849</v>
      </c>
      <c r="C12" s="6" t="s">
        <v>850</v>
      </c>
      <c r="D12" s="6" t="s">
        <v>300</v>
      </c>
      <c r="E12" s="6" t="s">
        <v>851</v>
      </c>
      <c r="F12" s="6" t="s">
        <v>852</v>
      </c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6" customHeight="1" spans="1:11">
      <c r="A14" s="7" t="s">
        <v>853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8" t="s">
        <v>819</v>
      </c>
      <c r="B15" s="8" t="s">
        <v>854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9" t="s">
        <v>855</v>
      </c>
      <c r="B16" s="9" t="s">
        <v>856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10" t="s">
        <v>857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5" t="s">
        <v>858</v>
      </c>
      <c r="B18" s="5" t="s">
        <v>859</v>
      </c>
      <c r="C18" s="5" t="s">
        <v>819</v>
      </c>
      <c r="D18" s="5" t="s">
        <v>860</v>
      </c>
      <c r="E18" s="5" t="s">
        <v>861</v>
      </c>
      <c r="F18" s="5" t="s">
        <v>862</v>
      </c>
      <c r="G18" s="5" t="s">
        <v>863</v>
      </c>
      <c r="H18" s="5" t="s">
        <v>864</v>
      </c>
      <c r="I18" s="5" t="s">
        <v>865</v>
      </c>
      <c r="J18" s="5" t="s">
        <v>7</v>
      </c>
      <c r="K18" s="5" t="s">
        <v>115</v>
      </c>
    </row>
    <row r="19" spans="1:11">
      <c r="A19" s="6" t="s">
        <v>127</v>
      </c>
      <c r="B19" s="6" t="s">
        <v>127</v>
      </c>
      <c r="C19" s="6" t="s">
        <v>127</v>
      </c>
      <c r="D19" s="6" t="s">
        <v>127</v>
      </c>
      <c r="E19" s="6" t="s">
        <v>127</v>
      </c>
      <c r="F19" s="6" t="s">
        <v>127</v>
      </c>
      <c r="G19" s="6" t="s">
        <v>127</v>
      </c>
      <c r="H19" s="6" t="s">
        <v>127</v>
      </c>
      <c r="I19" s="6" t="s">
        <v>127</v>
      </c>
      <c r="J19" s="6" t="s">
        <v>127</v>
      </c>
      <c r="K19" s="6" t="s">
        <v>127</v>
      </c>
    </row>
    <row r="20" spans="1:11">
      <c r="A20" s="11" t="s">
        <v>866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12" t="s">
        <v>858</v>
      </c>
      <c r="B21" s="12" t="s">
        <v>859</v>
      </c>
      <c r="C21" s="12" t="s">
        <v>819</v>
      </c>
      <c r="D21" s="12" t="s">
        <v>860</v>
      </c>
      <c r="E21" s="12" t="s">
        <v>861</v>
      </c>
      <c r="F21" s="12" t="s">
        <v>862</v>
      </c>
      <c r="G21" s="12" t="s">
        <v>863</v>
      </c>
      <c r="H21" s="12" t="s">
        <v>864</v>
      </c>
      <c r="I21" s="12" t="s">
        <v>865</v>
      </c>
      <c r="J21" s="12" t="s">
        <v>7</v>
      </c>
      <c r="K21" s="12" t="s">
        <v>115</v>
      </c>
    </row>
    <row r="22" ht="27" spans="1:11">
      <c r="A22" s="6" t="s">
        <v>867</v>
      </c>
      <c r="B22" s="6" t="s">
        <v>868</v>
      </c>
      <c r="C22" s="6" t="s">
        <v>869</v>
      </c>
      <c r="D22" s="6" t="s">
        <v>870</v>
      </c>
      <c r="E22" s="6" t="s">
        <v>871</v>
      </c>
      <c r="F22" s="6" t="s">
        <v>872</v>
      </c>
      <c r="G22" s="6" t="s">
        <v>873</v>
      </c>
      <c r="H22" s="6" t="s">
        <v>874</v>
      </c>
      <c r="I22" s="6" t="s">
        <v>875</v>
      </c>
      <c r="J22" s="6" t="s">
        <v>13</v>
      </c>
      <c r="K22" s="6" t="s">
        <v>876</v>
      </c>
    </row>
    <row r="23" ht="30" spans="1:11">
      <c r="A23" s="6" t="s">
        <v>877</v>
      </c>
      <c r="B23" s="6" t="s">
        <v>878</v>
      </c>
      <c r="C23" s="6" t="s">
        <v>879</v>
      </c>
      <c r="D23" s="6" t="s">
        <v>880</v>
      </c>
      <c r="E23" s="6" t="s">
        <v>881</v>
      </c>
      <c r="F23" s="6" t="s">
        <v>882</v>
      </c>
      <c r="G23" s="6" t="s">
        <v>883</v>
      </c>
      <c r="H23" s="6" t="s">
        <v>884</v>
      </c>
      <c r="I23" s="6" t="s">
        <v>885</v>
      </c>
      <c r="J23" s="6" t="s">
        <v>17</v>
      </c>
      <c r="K23" s="6" t="s">
        <v>886</v>
      </c>
    </row>
    <row r="24" spans="1:11">
      <c r="A24" s="13" t="s">
        <v>887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14" t="s">
        <v>888</v>
      </c>
      <c r="B25" s="14" t="s">
        <v>889</v>
      </c>
      <c r="C25" s="3"/>
      <c r="D25" s="3"/>
      <c r="E25" s="3"/>
      <c r="F25" s="3"/>
      <c r="G25" s="3"/>
      <c r="H25" s="3"/>
      <c r="I25" s="3"/>
      <c r="J25" s="3"/>
      <c r="K25" s="3"/>
    </row>
    <row r="26" ht="27" spans="1:11">
      <c r="A26" s="6" t="s">
        <v>890</v>
      </c>
      <c r="B26" s="6" t="s">
        <v>891</v>
      </c>
      <c r="C26" s="3"/>
      <c r="D26" s="3"/>
      <c r="E26" s="3"/>
      <c r="F26" s="3"/>
      <c r="G26" s="3"/>
      <c r="H26" s="3"/>
      <c r="I26" s="3"/>
      <c r="J26" s="3"/>
      <c r="K26" s="3"/>
    </row>
    <row r="27" ht="27" spans="1:11">
      <c r="A27" s="6" t="s">
        <v>892</v>
      </c>
      <c r="B27" s="6" t="s">
        <v>893</v>
      </c>
      <c r="C27" s="3"/>
      <c r="D27" s="3"/>
      <c r="E27" s="3"/>
      <c r="F27" s="3"/>
      <c r="G27" s="3"/>
      <c r="H27" s="3"/>
      <c r="I27" s="3"/>
      <c r="J27" s="3"/>
      <c r="K27" s="3"/>
    </row>
    <row r="28" ht="28.5" spans="1:11">
      <c r="A28" s="6" t="s">
        <v>894</v>
      </c>
      <c r="B28" s="6" t="s">
        <v>895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6" customHeight="1" spans="1:11">
      <c r="A34" s="7" t="s">
        <v>896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8" t="s">
        <v>819</v>
      </c>
      <c r="B35" s="8" t="s">
        <v>897</v>
      </c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9" t="s">
        <v>855</v>
      </c>
      <c r="B36" s="9" t="s">
        <v>898</v>
      </c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10" t="s">
        <v>857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5" t="s">
        <v>899</v>
      </c>
      <c r="B38" s="5" t="s">
        <v>900</v>
      </c>
      <c r="C38" s="5" t="s">
        <v>901</v>
      </c>
      <c r="D38" s="5" t="s">
        <v>902</v>
      </c>
      <c r="E38" s="5" t="s">
        <v>903</v>
      </c>
      <c r="F38" s="5" t="s">
        <v>904</v>
      </c>
      <c r="G38" s="5" t="s">
        <v>905</v>
      </c>
      <c r="H38" s="5" t="s">
        <v>906</v>
      </c>
      <c r="I38" s="5" t="s">
        <v>370</v>
      </c>
      <c r="J38" s="5" t="s">
        <v>907</v>
      </c>
      <c r="K38" s="5" t="s">
        <v>115</v>
      </c>
    </row>
    <row r="39" spans="1:11">
      <c r="A39" s="6" t="s">
        <v>127</v>
      </c>
      <c r="B39" s="6" t="s">
        <v>127</v>
      </c>
      <c r="C39" s="6" t="s">
        <v>127</v>
      </c>
      <c r="D39" s="6" t="s">
        <v>127</v>
      </c>
      <c r="E39" s="6" t="s">
        <v>127</v>
      </c>
      <c r="F39" s="6" t="s">
        <v>127</v>
      </c>
      <c r="G39" s="6" t="s">
        <v>127</v>
      </c>
      <c r="H39" s="6" t="s">
        <v>127</v>
      </c>
      <c r="I39" s="6" t="s">
        <v>127</v>
      </c>
      <c r="J39" s="6" t="s">
        <v>127</v>
      </c>
      <c r="K39" s="6" t="s">
        <v>127</v>
      </c>
    </row>
    <row r="40" spans="1:11">
      <c r="A40" s="11" t="s">
        <v>866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12" t="s">
        <v>899</v>
      </c>
      <c r="B41" s="12" t="s">
        <v>900</v>
      </c>
      <c r="C41" s="12" t="s">
        <v>901</v>
      </c>
      <c r="D41" s="12" t="s">
        <v>902</v>
      </c>
      <c r="E41" s="12" t="s">
        <v>903</v>
      </c>
      <c r="F41" s="12" t="s">
        <v>904</v>
      </c>
      <c r="G41" s="12" t="s">
        <v>905</v>
      </c>
      <c r="H41" s="12" t="s">
        <v>906</v>
      </c>
      <c r="I41" s="12" t="s">
        <v>370</v>
      </c>
      <c r="J41" s="12" t="s">
        <v>907</v>
      </c>
      <c r="K41" s="12" t="s">
        <v>115</v>
      </c>
    </row>
    <row r="42" ht="27" spans="1:11">
      <c r="A42" s="6" t="s">
        <v>818</v>
      </c>
      <c r="B42" s="6" t="s">
        <v>908</v>
      </c>
      <c r="C42" s="6" t="s">
        <v>909</v>
      </c>
      <c r="D42" s="6" t="s">
        <v>910</v>
      </c>
      <c r="E42" s="6" t="s">
        <v>126</v>
      </c>
      <c r="F42" s="6" t="s">
        <v>911</v>
      </c>
      <c r="G42" s="6" t="s">
        <v>912</v>
      </c>
      <c r="H42" s="6" t="s">
        <v>913</v>
      </c>
      <c r="I42" s="6" t="s">
        <v>914</v>
      </c>
      <c r="J42" s="6" t="s">
        <v>34</v>
      </c>
      <c r="K42" s="6" t="s">
        <v>915</v>
      </c>
    </row>
    <row r="43" spans="1:11">
      <c r="A43" s="6" t="s">
        <v>916</v>
      </c>
      <c r="B43" s="6" t="s">
        <v>917</v>
      </c>
      <c r="C43" s="6" t="s">
        <v>918</v>
      </c>
      <c r="D43" s="6" t="s">
        <v>910</v>
      </c>
      <c r="E43" s="6" t="s">
        <v>126</v>
      </c>
      <c r="F43" s="6" t="s">
        <v>919</v>
      </c>
      <c r="G43" s="6" t="s">
        <v>920</v>
      </c>
      <c r="H43" s="6" t="s">
        <v>921</v>
      </c>
      <c r="I43" s="6" t="s">
        <v>914</v>
      </c>
      <c r="J43" s="6" t="s">
        <v>34</v>
      </c>
      <c r="K43" s="6" t="s">
        <v>922</v>
      </c>
    </row>
    <row r="44" spans="1:11">
      <c r="A44" s="6" t="s">
        <v>923</v>
      </c>
      <c r="B44" s="6" t="s">
        <v>924</v>
      </c>
      <c r="C44" s="6" t="s">
        <v>925</v>
      </c>
      <c r="D44" s="6" t="s">
        <v>926</v>
      </c>
      <c r="E44" s="6" t="s">
        <v>705</v>
      </c>
      <c r="F44" s="6" t="s">
        <v>927</v>
      </c>
      <c r="G44" s="6" t="s">
        <v>928</v>
      </c>
      <c r="H44" s="6" t="s">
        <v>929</v>
      </c>
      <c r="I44" s="6" t="s">
        <v>930</v>
      </c>
      <c r="J44" s="6" t="s">
        <v>931</v>
      </c>
      <c r="K44" s="6" t="s">
        <v>932</v>
      </c>
    </row>
    <row r="45" spans="1:11">
      <c r="A45" s="13" t="s">
        <v>887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14" t="s">
        <v>888</v>
      </c>
      <c r="B46" s="14" t="s">
        <v>889</v>
      </c>
      <c r="C46" s="3"/>
      <c r="D46" s="3"/>
      <c r="E46" s="3"/>
      <c r="F46" s="3"/>
      <c r="G46" s="3"/>
      <c r="H46" s="3"/>
      <c r="I46" s="3"/>
      <c r="J46" s="3"/>
      <c r="K46" s="3"/>
    </row>
    <row r="47" ht="40.5" spans="1:11">
      <c r="A47" s="6" t="s">
        <v>933</v>
      </c>
      <c r="B47" s="6" t="s">
        <v>934</v>
      </c>
      <c r="C47" s="3"/>
      <c r="D47" s="3"/>
      <c r="E47" s="3"/>
      <c r="F47" s="3"/>
      <c r="G47" s="3"/>
      <c r="H47" s="3"/>
      <c r="I47" s="3"/>
      <c r="J47" s="3"/>
      <c r="K47" s="3"/>
    </row>
    <row r="48" ht="40.5" spans="1:11">
      <c r="A48" s="6" t="s">
        <v>935</v>
      </c>
      <c r="B48" s="6" t="s">
        <v>936</v>
      </c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6" customHeight="1" spans="1:11">
      <c r="A54" s="7" t="s">
        <v>937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8" t="s">
        <v>819</v>
      </c>
      <c r="B55" s="8" t="s">
        <v>938</v>
      </c>
      <c r="C55" s="8"/>
      <c r="D55" s="8"/>
      <c r="E55" s="8"/>
      <c r="F55" s="8"/>
      <c r="G55" s="8"/>
      <c r="H55" s="8"/>
      <c r="I55" s="8"/>
      <c r="J55" s="8"/>
      <c r="K55" s="8"/>
    </row>
    <row r="56" spans="1:11">
      <c r="A56" s="9" t="s">
        <v>855</v>
      </c>
      <c r="B56" s="9" t="s">
        <v>939</v>
      </c>
      <c r="C56" s="9"/>
      <c r="D56" s="9"/>
      <c r="E56" s="9"/>
      <c r="F56" s="9"/>
      <c r="G56" s="9"/>
      <c r="H56" s="9"/>
      <c r="I56" s="9"/>
      <c r="J56" s="9"/>
      <c r="K56" s="9"/>
    </row>
    <row r="57" spans="1:11">
      <c r="A57" s="10" t="s">
        <v>857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5" t="s">
        <v>940</v>
      </c>
      <c r="B58" s="5" t="s">
        <v>941</v>
      </c>
      <c r="C58" s="5" t="s">
        <v>942</v>
      </c>
      <c r="D58" s="5" t="s">
        <v>943</v>
      </c>
      <c r="E58" s="5" t="s">
        <v>944</v>
      </c>
      <c r="F58" s="5" t="s">
        <v>945</v>
      </c>
      <c r="G58" s="5" t="s">
        <v>946</v>
      </c>
      <c r="H58" s="5" t="s">
        <v>947</v>
      </c>
      <c r="I58" s="5" t="s">
        <v>115</v>
      </c>
      <c r="J58" s="3"/>
      <c r="K58" s="3"/>
    </row>
    <row r="59" spans="1:11">
      <c r="A59" s="6" t="s">
        <v>127</v>
      </c>
      <c r="B59" s="6" t="s">
        <v>127</v>
      </c>
      <c r="C59" s="6" t="s">
        <v>127</v>
      </c>
      <c r="D59" s="6" t="s">
        <v>127</v>
      </c>
      <c r="E59" s="6" t="s">
        <v>127</v>
      </c>
      <c r="F59" s="6" t="s">
        <v>127</v>
      </c>
      <c r="G59" s="6" t="s">
        <v>127</v>
      </c>
      <c r="H59" s="6" t="s">
        <v>127</v>
      </c>
      <c r="I59" s="6" t="s">
        <v>127</v>
      </c>
      <c r="J59" s="3"/>
      <c r="K59" s="3"/>
    </row>
    <row r="60" spans="1:11">
      <c r="A60" s="11" t="s">
        <v>866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12" t="s">
        <v>940</v>
      </c>
      <c r="B61" s="12" t="s">
        <v>941</v>
      </c>
      <c r="C61" s="12" t="s">
        <v>942</v>
      </c>
      <c r="D61" s="12" t="s">
        <v>943</v>
      </c>
      <c r="E61" s="12" t="s">
        <v>944</v>
      </c>
      <c r="F61" s="12" t="s">
        <v>945</v>
      </c>
      <c r="G61" s="12" t="s">
        <v>946</v>
      </c>
      <c r="H61" s="12" t="s">
        <v>947</v>
      </c>
      <c r="I61" s="12" t="s">
        <v>115</v>
      </c>
      <c r="J61" s="3"/>
      <c r="K61" s="3"/>
    </row>
    <row r="62" spans="1:11">
      <c r="A62" s="6" t="s">
        <v>948</v>
      </c>
      <c r="B62" s="6" t="s">
        <v>818</v>
      </c>
      <c r="C62" s="6" t="s">
        <v>949</v>
      </c>
      <c r="D62" s="6" t="s">
        <v>950</v>
      </c>
      <c r="E62" s="6" t="s">
        <v>951</v>
      </c>
      <c r="F62" s="6" t="s">
        <v>952</v>
      </c>
      <c r="G62" s="6" t="s">
        <v>126</v>
      </c>
      <c r="H62" s="6" t="s">
        <v>953</v>
      </c>
      <c r="I62" s="6" t="s">
        <v>954</v>
      </c>
      <c r="J62" s="3"/>
      <c r="K62" s="3"/>
    </row>
    <row r="63" ht="28.5" spans="1:11">
      <c r="A63" s="6" t="s">
        <v>955</v>
      </c>
      <c r="B63" s="6" t="s">
        <v>818</v>
      </c>
      <c r="C63" s="6" t="s">
        <v>949</v>
      </c>
      <c r="D63" s="6" t="s">
        <v>956</v>
      </c>
      <c r="E63" s="6" t="s">
        <v>957</v>
      </c>
      <c r="F63" s="6" t="s">
        <v>958</v>
      </c>
      <c r="G63" s="6" t="s">
        <v>126</v>
      </c>
      <c r="H63" s="6" t="s">
        <v>959</v>
      </c>
      <c r="I63" s="6" t="s">
        <v>960</v>
      </c>
      <c r="J63" s="3"/>
      <c r="K63" s="3"/>
    </row>
    <row r="64" ht="27" spans="1:11">
      <c r="A64" s="6" t="s">
        <v>961</v>
      </c>
      <c r="B64" s="6" t="s">
        <v>962</v>
      </c>
      <c r="C64" s="6" t="s">
        <v>949</v>
      </c>
      <c r="D64" s="6" t="s">
        <v>963</v>
      </c>
      <c r="E64" s="6" t="s">
        <v>964</v>
      </c>
      <c r="F64" s="6" t="s">
        <v>965</v>
      </c>
      <c r="G64" s="6" t="s">
        <v>126</v>
      </c>
      <c r="H64" s="6" t="s">
        <v>966</v>
      </c>
      <c r="I64" s="6" t="s">
        <v>967</v>
      </c>
      <c r="J64" s="3"/>
      <c r="K64" s="3"/>
    </row>
    <row r="65" spans="1:11">
      <c r="A65" s="13" t="s">
        <v>887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14" t="s">
        <v>888</v>
      </c>
      <c r="B66" s="14" t="s">
        <v>889</v>
      </c>
      <c r="C66" s="3"/>
      <c r="D66" s="3"/>
      <c r="E66" s="3"/>
      <c r="F66" s="3"/>
      <c r="G66" s="3"/>
      <c r="H66" s="3"/>
      <c r="I66" s="3"/>
      <c r="J66" s="3"/>
      <c r="K66" s="3"/>
    </row>
    <row r="67" ht="27" spans="1:11">
      <c r="A67" s="6" t="s">
        <v>968</v>
      </c>
      <c r="B67" s="6" t="s">
        <v>969</v>
      </c>
      <c r="C67" s="3"/>
      <c r="D67" s="3"/>
      <c r="E67" s="3"/>
      <c r="F67" s="3"/>
      <c r="G67" s="3"/>
      <c r="H67" s="3"/>
      <c r="I67" s="3"/>
      <c r="J67" s="3"/>
      <c r="K67" s="3"/>
    </row>
    <row r="68" ht="27" spans="1:11">
      <c r="A68" s="6" t="s">
        <v>970</v>
      </c>
      <c r="B68" s="6" t="s">
        <v>971</v>
      </c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26" customHeight="1" spans="1:11">
      <c r="A74" s="7" t="s">
        <v>972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8" t="s">
        <v>819</v>
      </c>
      <c r="B75" s="8" t="s">
        <v>973</v>
      </c>
      <c r="C75" s="8"/>
      <c r="D75" s="8"/>
      <c r="E75" s="8"/>
      <c r="F75" s="8"/>
      <c r="G75" s="8"/>
      <c r="H75" s="8"/>
      <c r="I75" s="8"/>
      <c r="J75" s="8"/>
      <c r="K75" s="8"/>
    </row>
    <row r="76" spans="1:11">
      <c r="A76" s="9" t="s">
        <v>855</v>
      </c>
      <c r="B76" s="9" t="s">
        <v>974</v>
      </c>
      <c r="C76" s="9"/>
      <c r="D76" s="9"/>
      <c r="E76" s="9"/>
      <c r="F76" s="9"/>
      <c r="G76" s="9"/>
      <c r="H76" s="9"/>
      <c r="I76" s="9"/>
      <c r="J76" s="9"/>
      <c r="K76" s="9"/>
    </row>
    <row r="77" spans="1:11">
      <c r="A77" s="15" t="s">
        <v>975</v>
      </c>
      <c r="B77" s="15" t="s">
        <v>976</v>
      </c>
      <c r="C77" s="15"/>
      <c r="D77" s="15"/>
      <c r="E77" s="15"/>
      <c r="F77" s="15"/>
      <c r="G77" s="15"/>
      <c r="H77" s="15"/>
      <c r="I77" s="15"/>
      <c r="J77" s="15"/>
      <c r="K77" s="15"/>
    </row>
    <row r="78" spans="1:11">
      <c r="A78" s="10" t="s">
        <v>857</v>
      </c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5" t="s">
        <v>977</v>
      </c>
      <c r="B79" s="5" t="s">
        <v>978</v>
      </c>
      <c r="C79" s="5" t="s">
        <v>239</v>
      </c>
      <c r="D79" s="5" t="s">
        <v>979</v>
      </c>
      <c r="E79" s="5" t="s">
        <v>980</v>
      </c>
      <c r="F79" s="5" t="s">
        <v>981</v>
      </c>
      <c r="G79" s="5" t="s">
        <v>982</v>
      </c>
      <c r="H79" s="5" t="s">
        <v>983</v>
      </c>
      <c r="I79" s="5" t="s">
        <v>984</v>
      </c>
      <c r="J79" s="5" t="s">
        <v>115</v>
      </c>
      <c r="K79" s="3"/>
    </row>
    <row r="80" spans="1:11">
      <c r="A80" s="6" t="s">
        <v>127</v>
      </c>
      <c r="B80" s="6" t="s">
        <v>127</v>
      </c>
      <c r="C80" s="6" t="s">
        <v>127</v>
      </c>
      <c r="D80" s="6" t="s">
        <v>127</v>
      </c>
      <c r="E80" s="6" t="s">
        <v>127</v>
      </c>
      <c r="F80" s="6" t="s">
        <v>127</v>
      </c>
      <c r="G80" s="6" t="s">
        <v>127</v>
      </c>
      <c r="H80" s="6" t="s">
        <v>127</v>
      </c>
      <c r="I80" s="6" t="s">
        <v>127</v>
      </c>
      <c r="J80" s="6" t="s">
        <v>127</v>
      </c>
      <c r="K80" s="3"/>
    </row>
    <row r="81" spans="1:11">
      <c r="A81" s="11" t="s">
        <v>866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12" t="s">
        <v>977</v>
      </c>
      <c r="B82" s="12" t="s">
        <v>978</v>
      </c>
      <c r="C82" s="12" t="s">
        <v>239</v>
      </c>
      <c r="D82" s="12" t="s">
        <v>979</v>
      </c>
      <c r="E82" s="12" t="s">
        <v>980</v>
      </c>
      <c r="F82" s="12" t="s">
        <v>981</v>
      </c>
      <c r="G82" s="12" t="s">
        <v>982</v>
      </c>
      <c r="H82" s="12" t="s">
        <v>983</v>
      </c>
      <c r="I82" s="12" t="s">
        <v>984</v>
      </c>
      <c r="J82" s="12" t="s">
        <v>115</v>
      </c>
      <c r="K82" s="3"/>
    </row>
    <row r="83" ht="28.5" spans="1:11">
      <c r="A83" s="6" t="s">
        <v>985</v>
      </c>
      <c r="B83" s="6" t="s">
        <v>986</v>
      </c>
      <c r="C83" s="6" t="s">
        <v>987</v>
      </c>
      <c r="D83" s="6" t="s">
        <v>988</v>
      </c>
      <c r="E83" s="6" t="s">
        <v>989</v>
      </c>
      <c r="F83" s="6" t="s">
        <v>990</v>
      </c>
      <c r="G83" s="6" t="s">
        <v>991</v>
      </c>
      <c r="H83" s="6" t="s">
        <v>992</v>
      </c>
      <c r="I83" s="6" t="s">
        <v>993</v>
      </c>
      <c r="J83" s="6" t="s">
        <v>994</v>
      </c>
      <c r="K83" s="3"/>
    </row>
    <row r="84" ht="30" spans="1:11">
      <c r="A84" s="6" t="s">
        <v>995</v>
      </c>
      <c r="B84" s="6" t="s">
        <v>996</v>
      </c>
      <c r="C84" s="6" t="s">
        <v>997</v>
      </c>
      <c r="D84" s="6" t="s">
        <v>998</v>
      </c>
      <c r="E84" s="6" t="s">
        <v>989</v>
      </c>
      <c r="F84" s="6" t="s">
        <v>990</v>
      </c>
      <c r="G84" s="6" t="s">
        <v>991</v>
      </c>
      <c r="H84" s="6" t="s">
        <v>999</v>
      </c>
      <c r="I84" s="6" t="s">
        <v>993</v>
      </c>
      <c r="J84" s="6" t="s">
        <v>1000</v>
      </c>
      <c r="K84" s="3"/>
    </row>
    <row r="85" ht="30" spans="1:11">
      <c r="A85" s="6" t="s">
        <v>1001</v>
      </c>
      <c r="B85" s="6" t="s">
        <v>1002</v>
      </c>
      <c r="C85" s="6" t="s">
        <v>1003</v>
      </c>
      <c r="D85" s="6" t="s">
        <v>1004</v>
      </c>
      <c r="E85" s="6" t="s">
        <v>1005</v>
      </c>
      <c r="F85" s="6" t="s">
        <v>1006</v>
      </c>
      <c r="G85" s="6" t="s">
        <v>1007</v>
      </c>
      <c r="H85" s="6" t="s">
        <v>1008</v>
      </c>
      <c r="I85" s="6" t="s">
        <v>1009</v>
      </c>
      <c r="J85" s="6" t="s">
        <v>1010</v>
      </c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26" customHeight="1" spans="1:11">
      <c r="A94" s="7" t="s">
        <v>1011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8" t="s">
        <v>819</v>
      </c>
      <c r="B95" s="8" t="s">
        <v>1012</v>
      </c>
      <c r="C95" s="8"/>
      <c r="D95" s="8"/>
      <c r="E95" s="8"/>
      <c r="F95" s="8"/>
      <c r="G95" s="8"/>
      <c r="H95" s="8"/>
      <c r="I95" s="8"/>
      <c r="J95" s="8"/>
      <c r="K95" s="8"/>
    </row>
    <row r="96" spans="1:11">
      <c r="A96" s="9" t="s">
        <v>855</v>
      </c>
      <c r="B96" s="9" t="s">
        <v>1013</v>
      </c>
      <c r="C96" s="9"/>
      <c r="D96" s="9"/>
      <c r="E96" s="9"/>
      <c r="F96" s="9"/>
      <c r="G96" s="9"/>
      <c r="H96" s="9"/>
      <c r="I96" s="9"/>
      <c r="J96" s="9"/>
      <c r="K96" s="9"/>
    </row>
    <row r="97" spans="1:11">
      <c r="A97" s="10" t="s">
        <v>857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5" t="s">
        <v>1014</v>
      </c>
      <c r="B98" s="5" t="s">
        <v>1015</v>
      </c>
      <c r="C98" s="5" t="s">
        <v>862</v>
      </c>
      <c r="D98" s="5" t="s">
        <v>1016</v>
      </c>
      <c r="E98" s="5" t="s">
        <v>1017</v>
      </c>
      <c r="F98" s="5" t="s">
        <v>1018</v>
      </c>
      <c r="G98" s="5" t="s">
        <v>1019</v>
      </c>
      <c r="H98" s="5" t="s">
        <v>1020</v>
      </c>
      <c r="I98" s="5" t="s">
        <v>115</v>
      </c>
      <c r="J98" s="3"/>
      <c r="K98" s="3"/>
    </row>
    <row r="99" spans="1:11">
      <c r="A99" s="6" t="s">
        <v>127</v>
      </c>
      <c r="B99" s="6" t="s">
        <v>127</v>
      </c>
      <c r="C99" s="6" t="s">
        <v>127</v>
      </c>
      <c r="D99" s="6" t="s">
        <v>127</v>
      </c>
      <c r="E99" s="6" t="s">
        <v>127</v>
      </c>
      <c r="F99" s="6" t="s">
        <v>127</v>
      </c>
      <c r="G99" s="6" t="s">
        <v>127</v>
      </c>
      <c r="H99" s="6" t="s">
        <v>127</v>
      </c>
      <c r="I99" s="6" t="s">
        <v>127</v>
      </c>
      <c r="J99" s="3"/>
      <c r="K99" s="3"/>
    </row>
    <row r="100" spans="1:11">
      <c r="A100" s="11" t="s">
        <v>866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12" t="s">
        <v>1014</v>
      </c>
      <c r="B101" s="12" t="s">
        <v>1015</v>
      </c>
      <c r="C101" s="12" t="s">
        <v>862</v>
      </c>
      <c r="D101" s="12" t="s">
        <v>1016</v>
      </c>
      <c r="E101" s="12" t="s">
        <v>1017</v>
      </c>
      <c r="F101" s="12" t="s">
        <v>1018</v>
      </c>
      <c r="G101" s="12" t="s">
        <v>1019</v>
      </c>
      <c r="H101" s="12" t="s">
        <v>1020</v>
      </c>
      <c r="I101" s="12" t="s">
        <v>115</v>
      </c>
      <c r="J101" s="3"/>
      <c r="K101" s="3"/>
    </row>
    <row r="102" ht="27" spans="1:11">
      <c r="A102" s="6" t="s">
        <v>611</v>
      </c>
      <c r="B102" s="6" t="s">
        <v>1021</v>
      </c>
      <c r="C102" s="6" t="s">
        <v>1022</v>
      </c>
      <c r="D102" s="6" t="s">
        <v>1023</v>
      </c>
      <c r="E102" s="6" t="s">
        <v>1024</v>
      </c>
      <c r="F102" s="6" t="s">
        <v>1025</v>
      </c>
      <c r="G102" s="6" t="s">
        <v>912</v>
      </c>
      <c r="H102" s="6" t="s">
        <v>1026</v>
      </c>
      <c r="I102" s="6" t="s">
        <v>1027</v>
      </c>
      <c r="J102" s="3"/>
      <c r="K102" s="3"/>
    </row>
    <row r="103" ht="27" spans="1:11">
      <c r="A103" s="6" t="s">
        <v>1028</v>
      </c>
      <c r="B103" s="6" t="s">
        <v>1029</v>
      </c>
      <c r="C103" s="6" t="s">
        <v>1030</v>
      </c>
      <c r="D103" s="6" t="s">
        <v>1031</v>
      </c>
      <c r="E103" s="6" t="s">
        <v>1032</v>
      </c>
      <c r="F103" s="6" t="s">
        <v>1033</v>
      </c>
      <c r="G103" s="6" t="s">
        <v>1034</v>
      </c>
      <c r="H103" s="6" t="s">
        <v>1035</v>
      </c>
      <c r="I103" s="6" t="s">
        <v>1036</v>
      </c>
      <c r="J103" s="3"/>
      <c r="K103" s="3"/>
    </row>
    <row r="104" ht="28.5" spans="1:11">
      <c r="A104" s="6" t="s">
        <v>1037</v>
      </c>
      <c r="B104" s="6" t="s">
        <v>1038</v>
      </c>
      <c r="C104" s="6" t="s">
        <v>1039</v>
      </c>
      <c r="D104" s="6" t="s">
        <v>1040</v>
      </c>
      <c r="E104" s="6" t="s">
        <v>1041</v>
      </c>
      <c r="F104" s="6" t="s">
        <v>1025</v>
      </c>
      <c r="G104" s="6" t="s">
        <v>1042</v>
      </c>
      <c r="H104" s="6" t="s">
        <v>1043</v>
      </c>
      <c r="I104" s="6" t="s">
        <v>1044</v>
      </c>
      <c r="J104" s="3"/>
      <c r="K104" s="3"/>
    </row>
    <row r="105" ht="27" spans="1:11">
      <c r="A105" s="6" t="s">
        <v>644</v>
      </c>
      <c r="B105" s="6" t="s">
        <v>1045</v>
      </c>
      <c r="C105" s="6" t="s">
        <v>1046</v>
      </c>
      <c r="D105" s="6" t="s">
        <v>1047</v>
      </c>
      <c r="E105" s="6" t="s">
        <v>1024</v>
      </c>
      <c r="F105" s="6" t="s">
        <v>1048</v>
      </c>
      <c r="G105" s="6" t="s">
        <v>1049</v>
      </c>
      <c r="H105" s="6" t="s">
        <v>1050</v>
      </c>
      <c r="I105" s="6" t="s">
        <v>1051</v>
      </c>
      <c r="J105" s="3"/>
      <c r="K105" s="3"/>
    </row>
    <row r="106" spans="1:11">
      <c r="A106" s="13" t="s">
        <v>887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14" t="s">
        <v>888</v>
      </c>
      <c r="B107" s="14" t="s">
        <v>889</v>
      </c>
      <c r="C107" s="3"/>
      <c r="D107" s="3"/>
      <c r="E107" s="3"/>
      <c r="F107" s="3"/>
      <c r="G107" s="3"/>
      <c r="H107" s="3"/>
      <c r="I107" s="3"/>
      <c r="J107" s="3"/>
      <c r="K107" s="3"/>
    </row>
    <row r="108" ht="27" spans="1:11">
      <c r="A108" s="6" t="s">
        <v>1052</v>
      </c>
      <c r="B108" s="6" t="s">
        <v>1053</v>
      </c>
      <c r="C108" s="3"/>
      <c r="D108" s="3"/>
      <c r="E108" s="3"/>
      <c r="F108" s="3"/>
      <c r="G108" s="3"/>
      <c r="H108" s="3"/>
      <c r="I108" s="3"/>
      <c r="J108" s="3"/>
      <c r="K108" s="3"/>
    </row>
    <row r="109" ht="27" spans="1:11">
      <c r="A109" s="6" t="s">
        <v>1054</v>
      </c>
      <c r="B109" s="6" t="s">
        <v>1055</v>
      </c>
      <c r="C109" s="3"/>
      <c r="D109" s="3"/>
      <c r="E109" s="3"/>
      <c r="F109" s="3"/>
      <c r="G109" s="3"/>
      <c r="H109" s="3"/>
      <c r="I109" s="3"/>
      <c r="J109" s="3"/>
      <c r="K109" s="3"/>
    </row>
    <row r="110" ht="27" spans="1:11">
      <c r="A110" s="6" t="s">
        <v>1056</v>
      </c>
      <c r="B110" s="6" t="s">
        <v>1057</v>
      </c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26" customHeight="1" spans="1:11">
      <c r="A116" s="7" t="s">
        <v>1058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8" t="s">
        <v>819</v>
      </c>
      <c r="B117" s="8" t="s">
        <v>1059</v>
      </c>
      <c r="C117" s="8"/>
      <c r="D117" s="8"/>
      <c r="E117" s="8"/>
      <c r="F117" s="8"/>
      <c r="G117" s="8"/>
      <c r="H117" s="8"/>
      <c r="I117" s="8"/>
      <c r="J117" s="8"/>
      <c r="K117" s="8"/>
    </row>
    <row r="118" spans="1:11">
      <c r="A118" s="9" t="s">
        <v>855</v>
      </c>
      <c r="B118" s="9" t="s">
        <v>1060</v>
      </c>
      <c r="C118" s="9"/>
      <c r="D118" s="9"/>
      <c r="E118" s="9"/>
      <c r="F118" s="9"/>
      <c r="G118" s="9"/>
      <c r="H118" s="9"/>
      <c r="I118" s="9"/>
      <c r="J118" s="9"/>
      <c r="K118" s="9"/>
    </row>
    <row r="119" spans="1:11">
      <c r="A119" s="10" t="s">
        <v>857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5" t="s">
        <v>1061</v>
      </c>
      <c r="B120" s="5" t="s">
        <v>1062</v>
      </c>
      <c r="C120" s="5" t="s">
        <v>1063</v>
      </c>
      <c r="D120" s="5" t="s">
        <v>1064</v>
      </c>
      <c r="E120" s="5" t="s">
        <v>1065</v>
      </c>
      <c r="F120" s="5" t="s">
        <v>1066</v>
      </c>
      <c r="G120" s="5" t="s">
        <v>7</v>
      </c>
      <c r="H120" s="5" t="s">
        <v>944</v>
      </c>
      <c r="I120" s="5" t="s">
        <v>115</v>
      </c>
      <c r="J120" s="3"/>
      <c r="K120" s="3"/>
    </row>
    <row r="121" spans="1:11">
      <c r="A121" s="6" t="s">
        <v>127</v>
      </c>
      <c r="B121" s="6" t="s">
        <v>127</v>
      </c>
      <c r="C121" s="6" t="s">
        <v>127</v>
      </c>
      <c r="D121" s="6" t="s">
        <v>127</v>
      </c>
      <c r="E121" s="6" t="s">
        <v>127</v>
      </c>
      <c r="F121" s="6" t="s">
        <v>127</v>
      </c>
      <c r="G121" s="6" t="s">
        <v>127</v>
      </c>
      <c r="H121" s="6" t="s">
        <v>127</v>
      </c>
      <c r="I121" s="6" t="s">
        <v>127</v>
      </c>
      <c r="J121" s="3"/>
      <c r="K121" s="3"/>
    </row>
    <row r="122" spans="1:11">
      <c r="A122" s="11" t="s">
        <v>866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12" t="s">
        <v>1061</v>
      </c>
      <c r="B123" s="12" t="s">
        <v>1062</v>
      </c>
      <c r="C123" s="12" t="s">
        <v>1063</v>
      </c>
      <c r="D123" s="12" t="s">
        <v>1064</v>
      </c>
      <c r="E123" s="12" t="s">
        <v>1065</v>
      </c>
      <c r="F123" s="12" t="s">
        <v>1066</v>
      </c>
      <c r="G123" s="12" t="s">
        <v>7</v>
      </c>
      <c r="H123" s="12" t="s">
        <v>944</v>
      </c>
      <c r="I123" s="12" t="s">
        <v>115</v>
      </c>
      <c r="J123" s="3"/>
      <c r="K123" s="3"/>
    </row>
    <row r="124" ht="27" spans="1:11">
      <c r="A124" s="6" t="s">
        <v>1067</v>
      </c>
      <c r="B124" s="6" t="s">
        <v>1068</v>
      </c>
      <c r="C124" s="6" t="s">
        <v>1069</v>
      </c>
      <c r="D124" s="6" t="s">
        <v>1070</v>
      </c>
      <c r="E124" s="6" t="s">
        <v>1071</v>
      </c>
      <c r="F124" s="6" t="s">
        <v>1072</v>
      </c>
      <c r="G124" s="6" t="s">
        <v>13</v>
      </c>
      <c r="H124" s="6" t="s">
        <v>1073</v>
      </c>
      <c r="I124" s="6" t="s">
        <v>1074</v>
      </c>
      <c r="J124" s="3"/>
      <c r="K124" s="3"/>
    </row>
    <row r="125" spans="1:11">
      <c r="A125" s="6" t="s">
        <v>1075</v>
      </c>
      <c r="B125" s="6" t="s">
        <v>327</v>
      </c>
      <c r="C125" s="6" t="s">
        <v>1076</v>
      </c>
      <c r="D125" s="6" t="s">
        <v>1077</v>
      </c>
      <c r="E125" s="6" t="s">
        <v>1078</v>
      </c>
      <c r="F125" s="6" t="s">
        <v>1072</v>
      </c>
      <c r="G125" s="6" t="s">
        <v>13</v>
      </c>
      <c r="H125" s="6" t="s">
        <v>1043</v>
      </c>
      <c r="I125" s="6" t="s">
        <v>1079</v>
      </c>
      <c r="J125" s="3"/>
      <c r="K125" s="3"/>
    </row>
    <row r="126" spans="1:11">
      <c r="A126" s="6" t="s">
        <v>1080</v>
      </c>
      <c r="B126" s="6" t="s">
        <v>1081</v>
      </c>
      <c r="C126" s="6" t="s">
        <v>1082</v>
      </c>
      <c r="D126" s="6" t="s">
        <v>1083</v>
      </c>
      <c r="E126" s="6" t="s">
        <v>1084</v>
      </c>
      <c r="F126" s="6" t="s">
        <v>1085</v>
      </c>
      <c r="G126" s="6" t="s">
        <v>13</v>
      </c>
      <c r="H126" s="6" t="s">
        <v>1086</v>
      </c>
      <c r="I126" s="6" t="s">
        <v>1087</v>
      </c>
      <c r="J126" s="3"/>
      <c r="K126" s="3"/>
    </row>
    <row r="127" ht="27" spans="1:11">
      <c r="A127" s="6" t="s">
        <v>1088</v>
      </c>
      <c r="B127" s="6" t="s">
        <v>1089</v>
      </c>
      <c r="C127" s="6" t="s">
        <v>1090</v>
      </c>
      <c r="D127" s="6" t="s">
        <v>1091</v>
      </c>
      <c r="E127" s="6" t="s">
        <v>1092</v>
      </c>
      <c r="F127" s="6" t="s">
        <v>1072</v>
      </c>
      <c r="G127" s="6" t="s">
        <v>17</v>
      </c>
      <c r="H127" s="6" t="s">
        <v>1093</v>
      </c>
      <c r="I127" s="6" t="s">
        <v>127</v>
      </c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26" customHeight="1" spans="1:11">
      <c r="A135" s="7" t="s">
        <v>1094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8" t="s">
        <v>819</v>
      </c>
      <c r="B136" s="8" t="s">
        <v>1095</v>
      </c>
      <c r="C136" s="8"/>
      <c r="D136" s="8"/>
      <c r="E136" s="8"/>
      <c r="F136" s="8"/>
      <c r="G136" s="8"/>
      <c r="H136" s="8"/>
      <c r="I136" s="8"/>
      <c r="J136" s="8"/>
      <c r="K136" s="8"/>
    </row>
    <row r="137" spans="1:11">
      <c r="A137" s="9" t="s">
        <v>855</v>
      </c>
      <c r="B137" s="9" t="s">
        <v>1096</v>
      </c>
      <c r="C137" s="9"/>
      <c r="D137" s="9"/>
      <c r="E137" s="9"/>
      <c r="F137" s="9"/>
      <c r="G137" s="9"/>
      <c r="H137" s="9"/>
      <c r="I137" s="9"/>
      <c r="J137" s="9"/>
      <c r="K137" s="9"/>
    </row>
    <row r="138" spans="1:11">
      <c r="A138" s="15" t="s">
        <v>975</v>
      </c>
      <c r="B138" s="15" t="s">
        <v>1097</v>
      </c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>
      <c r="A139" s="10" t="s">
        <v>857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5" t="s">
        <v>1098</v>
      </c>
      <c r="B140" s="5" t="s">
        <v>1099</v>
      </c>
      <c r="C140" s="5" t="s">
        <v>1063</v>
      </c>
      <c r="D140" s="5" t="s">
        <v>1100</v>
      </c>
      <c r="E140" s="5" t="s">
        <v>1101</v>
      </c>
      <c r="F140" s="5" t="s">
        <v>1102</v>
      </c>
      <c r="G140" s="5" t="s">
        <v>1103</v>
      </c>
      <c r="H140" s="5" t="s">
        <v>1104</v>
      </c>
      <c r="I140" s="5" t="s">
        <v>115</v>
      </c>
      <c r="J140" s="3"/>
      <c r="K140" s="3"/>
    </row>
    <row r="141" spans="1:11">
      <c r="A141" s="6" t="s">
        <v>127</v>
      </c>
      <c r="B141" s="6" t="s">
        <v>127</v>
      </c>
      <c r="C141" s="6" t="s">
        <v>127</v>
      </c>
      <c r="D141" s="6" t="s">
        <v>127</v>
      </c>
      <c r="E141" s="6" t="s">
        <v>127</v>
      </c>
      <c r="F141" s="6" t="s">
        <v>127</v>
      </c>
      <c r="G141" s="6" t="s">
        <v>127</v>
      </c>
      <c r="H141" s="6" t="s">
        <v>127</v>
      </c>
      <c r="I141" s="6" t="s">
        <v>127</v>
      </c>
      <c r="J141" s="3"/>
      <c r="K141" s="3"/>
    </row>
    <row r="142" spans="1:11">
      <c r="A142" s="11" t="s">
        <v>866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12" t="s">
        <v>1098</v>
      </c>
      <c r="B143" s="12" t="s">
        <v>1099</v>
      </c>
      <c r="C143" s="12" t="s">
        <v>1063</v>
      </c>
      <c r="D143" s="12" t="s">
        <v>1100</v>
      </c>
      <c r="E143" s="12" t="s">
        <v>1101</v>
      </c>
      <c r="F143" s="12" t="s">
        <v>1102</v>
      </c>
      <c r="G143" s="12" t="s">
        <v>1103</v>
      </c>
      <c r="H143" s="12" t="s">
        <v>1104</v>
      </c>
      <c r="I143" s="12" t="s">
        <v>115</v>
      </c>
      <c r="J143" s="3"/>
      <c r="K143" s="3"/>
    </row>
    <row r="144" ht="30" spans="1:11">
      <c r="A144" s="6" t="s">
        <v>1105</v>
      </c>
      <c r="B144" s="6" t="s">
        <v>183</v>
      </c>
      <c r="C144" s="6" t="s">
        <v>1106</v>
      </c>
      <c r="D144" s="6" t="s">
        <v>1107</v>
      </c>
      <c r="E144" s="6" t="s">
        <v>1108</v>
      </c>
      <c r="F144" s="6" t="s">
        <v>1109</v>
      </c>
      <c r="G144" s="6" t="s">
        <v>1110</v>
      </c>
      <c r="H144" s="6" t="s">
        <v>1111</v>
      </c>
      <c r="I144" s="6" t="s">
        <v>1112</v>
      </c>
      <c r="J144" s="3"/>
      <c r="K144" s="3"/>
    </row>
    <row r="145" ht="30" spans="1:11">
      <c r="A145" s="6" t="s">
        <v>1113</v>
      </c>
      <c r="B145" s="6" t="s">
        <v>1114</v>
      </c>
      <c r="C145" s="6" t="s">
        <v>950</v>
      </c>
      <c r="D145" s="6" t="s">
        <v>1115</v>
      </c>
      <c r="E145" s="6" t="s">
        <v>950</v>
      </c>
      <c r="F145" s="6" t="s">
        <v>1116</v>
      </c>
      <c r="G145" s="6" t="s">
        <v>948</v>
      </c>
      <c r="H145" s="6" t="s">
        <v>1111</v>
      </c>
      <c r="I145" s="6" t="s">
        <v>127</v>
      </c>
      <c r="J145" s="3"/>
      <c r="K145" s="3"/>
    </row>
    <row r="146" spans="1:11">
      <c r="A146" s="6" t="s">
        <v>1117</v>
      </c>
      <c r="B146" s="6" t="s">
        <v>1118</v>
      </c>
      <c r="C146" s="6" t="s">
        <v>1076</v>
      </c>
      <c r="D146" s="6" t="s">
        <v>1119</v>
      </c>
      <c r="E146" s="6" t="s">
        <v>1108</v>
      </c>
      <c r="F146" s="6" t="s">
        <v>1120</v>
      </c>
      <c r="G146" s="6" t="s">
        <v>955</v>
      </c>
      <c r="H146" s="6" t="s">
        <v>1111</v>
      </c>
      <c r="I146" s="6" t="s">
        <v>127</v>
      </c>
      <c r="J146" s="3"/>
      <c r="K146" s="3"/>
    </row>
    <row r="147" ht="27" spans="1:11">
      <c r="A147" s="6" t="s">
        <v>1121</v>
      </c>
      <c r="B147" s="6" t="s">
        <v>1122</v>
      </c>
      <c r="C147" s="6" t="s">
        <v>1123</v>
      </c>
      <c r="D147" s="6" t="s">
        <v>1124</v>
      </c>
      <c r="E147" s="6" t="s">
        <v>1125</v>
      </c>
      <c r="F147" s="6" t="s">
        <v>1126</v>
      </c>
      <c r="G147" s="6" t="s">
        <v>1127</v>
      </c>
      <c r="H147" s="6" t="s">
        <v>1111</v>
      </c>
      <c r="I147" s="6" t="s">
        <v>127</v>
      </c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26" customHeight="1" spans="1:11">
      <c r="A154" s="7" t="s">
        <v>1128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8" t="s">
        <v>819</v>
      </c>
      <c r="B155" s="8" t="s">
        <v>1129</v>
      </c>
      <c r="C155" s="8"/>
      <c r="D155" s="8"/>
      <c r="E155" s="8"/>
      <c r="F155" s="8"/>
      <c r="G155" s="8"/>
      <c r="H155" s="8"/>
      <c r="I155" s="8"/>
      <c r="J155" s="8"/>
      <c r="K155" s="8"/>
    </row>
    <row r="156" spans="1:11">
      <c r="A156" s="9" t="s">
        <v>855</v>
      </c>
      <c r="B156" s="9" t="s">
        <v>1130</v>
      </c>
      <c r="C156" s="9"/>
      <c r="D156" s="9"/>
      <c r="E156" s="9"/>
      <c r="F156" s="9"/>
      <c r="G156" s="9"/>
      <c r="H156" s="9"/>
      <c r="I156" s="9"/>
      <c r="J156" s="9"/>
      <c r="K156" s="9"/>
    </row>
    <row r="157" spans="1:11">
      <c r="A157" s="15" t="s">
        <v>975</v>
      </c>
      <c r="B157" s="15" t="s">
        <v>1131</v>
      </c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>
      <c r="A158" s="10" t="s">
        <v>857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5" t="s">
        <v>1132</v>
      </c>
      <c r="B159" s="5" t="s">
        <v>1133</v>
      </c>
      <c r="C159" s="5" t="s">
        <v>1134</v>
      </c>
      <c r="D159" s="5" t="s">
        <v>1135</v>
      </c>
      <c r="E159" s="5" t="s">
        <v>726</v>
      </c>
      <c r="F159" s="5" t="s">
        <v>1136</v>
      </c>
      <c r="G159" s="5" t="s">
        <v>1137</v>
      </c>
      <c r="H159" s="5" t="s">
        <v>1138</v>
      </c>
      <c r="I159" s="5" t="s">
        <v>1139</v>
      </c>
      <c r="J159" s="5" t="s">
        <v>1140</v>
      </c>
      <c r="K159" s="3"/>
    </row>
    <row r="160" spans="1:11">
      <c r="A160" s="6" t="s">
        <v>127</v>
      </c>
      <c r="B160" s="6" t="s">
        <v>127</v>
      </c>
      <c r="C160" s="6" t="s">
        <v>127</v>
      </c>
      <c r="D160" s="6" t="s">
        <v>127</v>
      </c>
      <c r="E160" s="6" t="s">
        <v>127</v>
      </c>
      <c r="F160" s="6" t="s">
        <v>127</v>
      </c>
      <c r="G160" s="6" t="s">
        <v>127</v>
      </c>
      <c r="H160" s="6" t="s">
        <v>127</v>
      </c>
      <c r="I160" s="6" t="s">
        <v>127</v>
      </c>
      <c r="J160" s="6" t="s">
        <v>127</v>
      </c>
      <c r="K160" s="3"/>
    </row>
    <row r="161" spans="1:11">
      <c r="A161" s="11" t="s">
        <v>866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12" t="s">
        <v>1132</v>
      </c>
      <c r="B162" s="12" t="s">
        <v>1133</v>
      </c>
      <c r="C162" s="12" t="s">
        <v>1134</v>
      </c>
      <c r="D162" s="12" t="s">
        <v>1135</v>
      </c>
      <c r="E162" s="12" t="s">
        <v>726</v>
      </c>
      <c r="F162" s="12" t="s">
        <v>1136</v>
      </c>
      <c r="G162" s="12" t="s">
        <v>1137</v>
      </c>
      <c r="H162" s="12" t="s">
        <v>1138</v>
      </c>
      <c r="I162" s="12" t="s">
        <v>1139</v>
      </c>
      <c r="J162" s="12" t="s">
        <v>1140</v>
      </c>
      <c r="K162" s="3"/>
    </row>
    <row r="163" ht="27" spans="1:11">
      <c r="A163" s="6" t="s">
        <v>1141</v>
      </c>
      <c r="B163" s="6" t="s">
        <v>1142</v>
      </c>
      <c r="C163" s="6" t="s">
        <v>1143</v>
      </c>
      <c r="D163" s="6" t="s">
        <v>1144</v>
      </c>
      <c r="E163" s="6" t="s">
        <v>17</v>
      </c>
      <c r="F163" s="6" t="s">
        <v>1145</v>
      </c>
      <c r="G163" s="6" t="s">
        <v>1146</v>
      </c>
      <c r="H163" s="6" t="s">
        <v>1147</v>
      </c>
      <c r="I163" s="6" t="s">
        <v>1148</v>
      </c>
      <c r="J163" s="6" t="s">
        <v>1149</v>
      </c>
      <c r="K163" s="3"/>
    </row>
    <row r="164" ht="27" spans="1:11">
      <c r="A164" s="6" t="s">
        <v>1150</v>
      </c>
      <c r="B164" s="6" t="s">
        <v>557</v>
      </c>
      <c r="C164" s="6" t="s">
        <v>1151</v>
      </c>
      <c r="D164" s="6" t="s">
        <v>1152</v>
      </c>
      <c r="E164" s="6" t="s">
        <v>17</v>
      </c>
      <c r="F164" s="6" t="s">
        <v>1153</v>
      </c>
      <c r="G164" s="6" t="s">
        <v>1154</v>
      </c>
      <c r="H164" s="6" t="s">
        <v>1155</v>
      </c>
      <c r="I164" s="6" t="s">
        <v>1156</v>
      </c>
      <c r="J164" s="6" t="s">
        <v>1149</v>
      </c>
      <c r="K164" s="3"/>
    </row>
    <row r="165" ht="27" spans="1:11">
      <c r="A165" s="6" t="s">
        <v>1157</v>
      </c>
      <c r="B165" s="6" t="s">
        <v>864</v>
      </c>
      <c r="C165" s="6" t="s">
        <v>1158</v>
      </c>
      <c r="D165" s="6" t="s">
        <v>1159</v>
      </c>
      <c r="E165" s="6" t="s">
        <v>17</v>
      </c>
      <c r="F165" s="6" t="s">
        <v>1160</v>
      </c>
      <c r="G165" s="6" t="s">
        <v>1161</v>
      </c>
      <c r="H165" s="6" t="s">
        <v>1162</v>
      </c>
      <c r="I165" s="6" t="s">
        <v>1163</v>
      </c>
      <c r="J165" s="6" t="s">
        <v>1149</v>
      </c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</sheetData>
  <mergeCells count="49">
    <mergeCell ref="A1:K1"/>
    <mergeCell ref="A2:K2"/>
    <mergeCell ref="A14:K14"/>
    <mergeCell ref="B15:K15"/>
    <mergeCell ref="B16:K16"/>
    <mergeCell ref="A17:K17"/>
    <mergeCell ref="A20:K20"/>
    <mergeCell ref="A24:K24"/>
    <mergeCell ref="A34:K34"/>
    <mergeCell ref="B35:K35"/>
    <mergeCell ref="B36:K36"/>
    <mergeCell ref="A37:K37"/>
    <mergeCell ref="A40:K40"/>
    <mergeCell ref="A45:K45"/>
    <mergeCell ref="A54:K54"/>
    <mergeCell ref="B55:K55"/>
    <mergeCell ref="B56:K56"/>
    <mergeCell ref="A57:K57"/>
    <mergeCell ref="A60:K60"/>
    <mergeCell ref="A65:K65"/>
    <mergeCell ref="A74:K74"/>
    <mergeCell ref="B75:K75"/>
    <mergeCell ref="B76:K76"/>
    <mergeCell ref="B77:K77"/>
    <mergeCell ref="A78:K78"/>
    <mergeCell ref="A81:K81"/>
    <mergeCell ref="A94:K94"/>
    <mergeCell ref="B95:K95"/>
    <mergeCell ref="B96:K96"/>
    <mergeCell ref="A97:K97"/>
    <mergeCell ref="A100:K100"/>
    <mergeCell ref="A106:K106"/>
    <mergeCell ref="A116:K116"/>
    <mergeCell ref="B117:K117"/>
    <mergeCell ref="B118:K118"/>
    <mergeCell ref="A119:K119"/>
    <mergeCell ref="A122:K122"/>
    <mergeCell ref="A135:K135"/>
    <mergeCell ref="B136:K136"/>
    <mergeCell ref="B137:K137"/>
    <mergeCell ref="B138:K138"/>
    <mergeCell ref="A139:K139"/>
    <mergeCell ref="A142:K142"/>
    <mergeCell ref="A154:K154"/>
    <mergeCell ref="B155:K155"/>
    <mergeCell ref="B156:K156"/>
    <mergeCell ref="B157:K157"/>
    <mergeCell ref="A158:K158"/>
    <mergeCell ref="A161:K16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00_评审看板</vt:lpstr>
      <vt:lpstr>01_需求自查清单</vt:lpstr>
      <vt:lpstr>02_字典配置</vt:lpstr>
      <vt:lpstr>03_阻塞标准</vt:lpstr>
      <vt:lpstr>04_复杂度适配</vt:lpstr>
      <vt:lpstr>05_来源与原则</vt:lpstr>
      <vt:lpstr>06_使用说明</vt:lpstr>
      <vt:lpstr>07_表格模板示例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永道缔生</cp:lastModifiedBy>
  <dcterms:created xsi:type="dcterms:W3CDTF">2026-06-25T09:53:03Z</dcterms:created>
  <dcterms:modified xsi:type="dcterms:W3CDTF">2026-06-25T09:54:38Z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977BA4325D064B12A72C301EAB44480F_12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